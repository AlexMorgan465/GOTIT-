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uf11pu01\ACCESSIBILITÉ_CONSEILLERS\Task_Force_Central\HAMDANMO\"/>
    </mc:Choice>
  </mc:AlternateContent>
  <xr:revisionPtr revIDLastSave="0" documentId="13_ncr:1_{1E73902D-956A-4716-90F3-54F92AEFCCB2}" xr6:coauthVersionLast="47" xr6:coauthVersionMax="47" xr10:uidLastSave="{00000000-0000-0000-0000-000000000000}"/>
  <bookViews>
    <workbookView xWindow="-120" yWindow="480" windowWidth="29040" windowHeight="15120" xr2:uid="{00000000-000D-0000-FFFF-FFFF00000000}"/>
  </bookViews>
  <sheets>
    <sheet name="BUREAU" sheetId="4" r:id="rId1"/>
    <sheet name="LOG_ACTIONS" sheetId="2" r:id="rId2"/>
    <sheet name="NC_LOG_ACTIONS" sheetId="3" r:id="rId3"/>
    <sheet name="Feuil2" sheetId="6" r:id="rId4"/>
    <sheet name="SHEET_TRACE_NAME" sheetId="1" r:id="rId5"/>
  </sheets>
  <functionGroups builtInGroupCount="19"/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3" i="6" l="1"/>
  <c r="E3" i="6"/>
</calcChain>
</file>

<file path=xl/sharedStrings.xml><?xml version="1.0" encoding="utf-8"?>
<sst xmlns="http://schemas.openxmlformats.org/spreadsheetml/2006/main" count="129" uniqueCount="41">
  <si>
    <t>Date</t>
  </si>
  <si>
    <t>Action</t>
  </si>
  <si>
    <t>Fichier</t>
  </si>
  <si>
    <t>Utilisateur</t>
  </si>
  <si>
    <t>Détails</t>
  </si>
  <si>
    <t>NomFichier</t>
  </si>
  <si>
    <t>Domaine</t>
  </si>
  <si>
    <t>SousDomaine</t>
  </si>
  <si>
    <t>Statut</t>
  </si>
  <si>
    <t>Date_A_TRAITER</t>
  </si>
  <si>
    <t>Date_FIN</t>
  </si>
  <si>
    <t>Agent</t>
  </si>
  <si>
    <t>DMT</t>
  </si>
  <si>
    <t>HAMDANMO</t>
  </si>
  <si>
    <t>Déplacement</t>
  </si>
  <si>
    <t>A TRAITER ? EN COURS</t>
  </si>
  <si>
    <t>i</t>
  </si>
  <si>
    <t>EN COURS ? TRAITES</t>
  </si>
  <si>
    <t>DIRCO</t>
  </si>
  <si>
    <t>FICHES CLIENTS</t>
  </si>
  <si>
    <t>TRAITES</t>
  </si>
  <si>
    <t>Comment</t>
  </si>
  <si>
    <t>Bouygues telecom</t>
  </si>
  <si>
    <t>[PAS DE SOUS-DOMAINE]</t>
  </si>
  <si>
    <t>13.41.48 IPID.pdf</t>
  </si>
  <si>
    <t>13.41.48.pdf</t>
  </si>
  <si>
    <t>16.61.12.pdf</t>
  </si>
  <si>
    <t>gdt_gp_ 2 juin_2025_p11_v3_lig~1.pdf</t>
  </si>
  <si>
    <t>Commentaire</t>
  </si>
  <si>
    <t>DIT10278.pdf</t>
  </si>
  <si>
    <t>CG CAT Ordinaires avec ou sans préavis.pdf</t>
  </si>
  <si>
    <t>CONTRATHEQUE</t>
  </si>
  <si>
    <t>CONDITIONS GENERALES</t>
  </si>
  <si>
    <t>utilisateur</t>
  </si>
  <si>
    <t>Étiquettes de lignes</t>
  </si>
  <si>
    <t>Total général</t>
  </si>
  <si>
    <t>Nombre de SousDomaine</t>
  </si>
  <si>
    <t>total</t>
  </si>
  <si>
    <t>Nombre de Statut</t>
  </si>
  <si>
    <t>total traiter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</si>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</sst>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8DCF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17233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1" fillId="2" borderId="0" xfId="0" applyFont="1" applyFill="1"/>
    <xf numFmtId="0" fontId="1" fillId="3" borderId="0" xfId="0" applyFont="1" applyFill="1" applyAlignment="1">
      <alignment horizontal="center"/>
    </xf>
    <xf numFmtId="164" fontId="0" fillId="0" borderId="0" xfId="0" applyNumberFormat="1"/>
    <xf numFmtId="0" fontId="1" fillId="3" borderId="0" xfId="0" applyFont="1" applyFill="1" applyAlignment="1">
      <alignment horizontal="center" vertical="center"/>
    </xf>
    <xf numFmtId="22" fontId="1" fillId="3" borderId="0" xfId="0" applyNumberFormat="1" applyFont="1" applyFill="1" applyAlignment="1">
      <alignment horizontal="center" vertical="center"/>
    </xf>
    <xf numFmtId="165" fontId="1" fillId="3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4" borderId="0" xfId="0" applyFill="1"/>
    <xf numFmtId="0" fontId="2" fillId="0" borderId="0" xfId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46505A"/>
      <color rgb="FF464D57"/>
      <color rgb="FF434D57"/>
      <color rgb="FF172331"/>
      <color rgb="FF2632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[TASKFORCE - Copie.xlsm]Feuil2!Tableau croisé dynamique1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Total de document Traiter par</a:t>
            </a:r>
            <a:r>
              <a:rPr lang="en-US" baseline="0">
                <a:solidFill>
                  <a:schemeClr val="bg1"/>
                </a:solidFill>
              </a:rPr>
              <a:t> Typologies</a:t>
            </a:r>
            <a:endParaRPr lang="en-US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555555555555555E-2"/>
          <c:y val="0.17171296296296296"/>
          <c:w val="0.93081474190726154"/>
          <c:h val="0.552008967629046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Feuil2!$B$3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Feuil2!$A$4:$A$8</c:f>
              <c:multiLvlStrCache>
                <c:ptCount val="2"/>
                <c:lvl>
                  <c:pt idx="0">
                    <c:v>CONDITIONS GENERALES</c:v>
                  </c:pt>
                  <c:pt idx="1">
                    <c:v>FICHES CLIENTS</c:v>
                  </c:pt>
                </c:lvl>
                <c:lvl>
                  <c:pt idx="0">
                    <c:v>CONTRATHEQUE</c:v>
                  </c:pt>
                  <c:pt idx="1">
                    <c:v>DIRCO</c:v>
                  </c:pt>
                </c:lvl>
              </c:multiLvlStrCache>
            </c:multiLvlStrRef>
          </c:cat>
          <c:val>
            <c:numRef>
              <c:f>Feuil2!$B$4:$B$8</c:f>
              <c:numCache>
                <c:formatCode>General</c:formatCode>
                <c:ptCount val="2"/>
                <c:pt idx="0">
                  <c:v>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3D-41C9-B862-1DCA09B0E5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78399888"/>
        <c:axId val="778423600"/>
      </c:barChart>
      <c:catAx>
        <c:axId val="77839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8423600"/>
        <c:crosses val="autoZero"/>
        <c:auto val="1"/>
        <c:lblAlgn val="ctr"/>
        <c:lblOffset val="100"/>
        <c:noMultiLvlLbl val="0"/>
      </c:catAx>
      <c:valAx>
        <c:axId val="7784236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7839988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2</xdr:row>
      <xdr:rowOff>133349</xdr:rowOff>
    </xdr:from>
    <xdr:to>
      <xdr:col>2</xdr:col>
      <xdr:colOff>714375</xdr:colOff>
      <xdr:row>36</xdr:row>
      <xdr:rowOff>66674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FC49A8FE-20B4-473A-BDA5-AF84CAD74553}"/>
            </a:ext>
          </a:extLst>
        </xdr:cNvPr>
        <xdr:cNvSpPr/>
      </xdr:nvSpPr>
      <xdr:spPr>
        <a:xfrm>
          <a:off x="219075" y="514349"/>
          <a:ext cx="2019300" cy="6410325"/>
        </a:xfrm>
        <a:prstGeom prst="roundRect">
          <a:avLst/>
        </a:prstGeom>
        <a:solidFill>
          <a:srgbClr val="434D57"/>
        </a:solidFill>
        <a:ln>
          <a:solidFill>
            <a:srgbClr val="434D5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104774</xdr:colOff>
      <xdr:row>2</xdr:row>
      <xdr:rowOff>95249</xdr:rowOff>
    </xdr:from>
    <xdr:to>
      <xdr:col>23</xdr:col>
      <xdr:colOff>190500</xdr:colOff>
      <xdr:row>36</xdr:row>
      <xdr:rowOff>142874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B1F3735-9F49-4AFB-A39A-E7D3F20E0287}"/>
            </a:ext>
          </a:extLst>
        </xdr:cNvPr>
        <xdr:cNvSpPr/>
      </xdr:nvSpPr>
      <xdr:spPr>
        <a:xfrm>
          <a:off x="2390774" y="476249"/>
          <a:ext cx="15325726" cy="6524625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11138">
              <a:moveTo>
                <a:pt x="0" y="658834"/>
              </a:moveTo>
              <a:cubicBezTo>
                <a:pt x="0" y="68768"/>
                <a:pt x="487868" y="0"/>
                <a:pt x="1077934" y="0"/>
              </a:cubicBezTo>
              <a:lnTo>
                <a:pt x="14257317" y="0"/>
              </a:lnTo>
              <a:cubicBezTo>
                <a:pt x="14847383" y="0"/>
                <a:pt x="15325726" y="478343"/>
                <a:pt x="15325726" y="1068409"/>
              </a:cubicBezTo>
              <a:lnTo>
                <a:pt x="15325726" y="5341916"/>
              </a:lnTo>
              <a:cubicBezTo>
                <a:pt x="15325726" y="5931982"/>
                <a:pt x="14847383" y="6410325"/>
                <a:pt x="14257317" y="6410325"/>
              </a:cubicBezTo>
              <a:lnTo>
                <a:pt x="1077934" y="6410325"/>
              </a:lnTo>
              <a:cubicBezTo>
                <a:pt x="487868" y="6410325"/>
                <a:pt x="47625" y="6455857"/>
                <a:pt x="47625" y="5865791"/>
              </a:cubicBezTo>
              <a:cubicBezTo>
                <a:pt x="47625" y="4441289"/>
                <a:pt x="0" y="2083336"/>
                <a:pt x="0" y="658834"/>
              </a:cubicBezTo>
              <a:close/>
            </a:path>
          </a:pathLst>
        </a:custGeom>
        <a:solidFill>
          <a:srgbClr val="263242"/>
        </a:solidFill>
        <a:ln>
          <a:solidFill>
            <a:srgbClr val="26324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552450</xdr:colOff>
      <xdr:row>3</xdr:row>
      <xdr:rowOff>161925</xdr:rowOff>
    </xdr:from>
    <xdr:to>
      <xdr:col>10</xdr:col>
      <xdr:colOff>533400</xdr:colOff>
      <xdr:row>7</xdr:row>
      <xdr:rowOff>104775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C9B5C919-B38E-43E2-98D5-EFC567D0BAEA}"/>
            </a:ext>
          </a:extLst>
        </xdr:cNvPr>
        <xdr:cNvSpPr txBox="1"/>
      </xdr:nvSpPr>
      <xdr:spPr>
        <a:xfrm>
          <a:off x="2838450" y="733425"/>
          <a:ext cx="5314950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3600" b="1">
              <a:solidFill>
                <a:schemeClr val="bg1"/>
              </a:solidFill>
            </a:rPr>
            <a:t>DASH</a:t>
          </a:r>
          <a:r>
            <a:rPr lang="fr-FR" sz="3600" b="1" baseline="0">
              <a:solidFill>
                <a:schemeClr val="bg1"/>
              </a:solidFill>
            </a:rPr>
            <a:t>BOARD D'AUDIT</a:t>
          </a:r>
          <a:endParaRPr lang="fr-FR" sz="36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600075</xdr:colOff>
      <xdr:row>7</xdr:row>
      <xdr:rowOff>190070</xdr:rowOff>
    </xdr:from>
    <xdr:to>
      <xdr:col>14</xdr:col>
      <xdr:colOff>619125</xdr:colOff>
      <xdr:row>20</xdr:row>
      <xdr:rowOff>57170</xdr:rowOff>
    </xdr:to>
    <xdr:sp macro="" textlink="">
      <xdr:nvSpPr>
        <xdr:cNvPr id="7" name="Rectangle : coins arrondis 3">
          <a:extLst>
            <a:ext uri="{FF2B5EF4-FFF2-40B4-BE49-F238E27FC236}">
              <a16:creationId xmlns:a16="http://schemas.microsoft.com/office/drawing/2014/main" id="{9256B9D0-600C-4744-88E5-023C73CFCD17}"/>
            </a:ext>
          </a:extLst>
        </xdr:cNvPr>
        <xdr:cNvSpPr/>
      </xdr:nvSpPr>
      <xdr:spPr>
        <a:xfrm>
          <a:off x="2886075" y="1523570"/>
          <a:ext cx="840105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161925</xdr:colOff>
      <xdr:row>7</xdr:row>
      <xdr:rowOff>190070</xdr:rowOff>
    </xdr:from>
    <xdr:to>
      <xdr:col>22</xdr:col>
      <xdr:colOff>238125</xdr:colOff>
      <xdr:row>20</xdr:row>
      <xdr:rowOff>57170</xdr:rowOff>
    </xdr:to>
    <xdr:sp macro="" textlink="">
      <xdr:nvSpPr>
        <xdr:cNvPr id="9" name="Rectangle : coins arrondis 3">
          <a:extLst>
            <a:ext uri="{FF2B5EF4-FFF2-40B4-BE49-F238E27FC236}">
              <a16:creationId xmlns:a16="http://schemas.microsoft.com/office/drawing/2014/main" id="{0D7C2CC5-C82B-486C-8F3C-AB78E8D0AF9C}"/>
            </a:ext>
          </a:extLst>
        </xdr:cNvPr>
        <xdr:cNvSpPr/>
      </xdr:nvSpPr>
      <xdr:spPr>
        <a:xfrm>
          <a:off x="11591925" y="1523570"/>
          <a:ext cx="541020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590550</xdr:colOff>
      <xdr:row>21</xdr:row>
      <xdr:rowOff>75770</xdr:rowOff>
    </xdr:from>
    <xdr:to>
      <xdr:col>9</xdr:col>
      <xdr:colOff>228600</xdr:colOff>
      <xdr:row>33</xdr:row>
      <xdr:rowOff>133370</xdr:rowOff>
    </xdr:to>
    <xdr:sp macro="" textlink="">
      <xdr:nvSpPr>
        <xdr:cNvPr id="10" name="Rectangle : coins arrondis 3">
          <a:extLst>
            <a:ext uri="{FF2B5EF4-FFF2-40B4-BE49-F238E27FC236}">
              <a16:creationId xmlns:a16="http://schemas.microsoft.com/office/drawing/2014/main" id="{35D5B49B-1A28-49E6-8A67-18B984955099}"/>
            </a:ext>
          </a:extLst>
        </xdr:cNvPr>
        <xdr:cNvSpPr/>
      </xdr:nvSpPr>
      <xdr:spPr>
        <a:xfrm>
          <a:off x="2876550" y="4076270"/>
          <a:ext cx="421005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34</xdr:row>
      <xdr:rowOff>151970</xdr:rowOff>
    </xdr:from>
    <xdr:to>
      <xdr:col>0</xdr:col>
      <xdr:colOff>0</xdr:colOff>
      <xdr:row>47</xdr:row>
      <xdr:rowOff>19070</xdr:rowOff>
    </xdr:to>
    <xdr:sp macro="" textlink="">
      <xdr:nvSpPr>
        <xdr:cNvPr id="11" name="Rectangle : coins arrondis 3">
          <a:extLst>
            <a:ext uri="{FF2B5EF4-FFF2-40B4-BE49-F238E27FC236}">
              <a16:creationId xmlns:a16="http://schemas.microsoft.com/office/drawing/2014/main" id="{CCBF1C7B-9005-4632-AD99-AFB7A20DCBCB}"/>
            </a:ext>
          </a:extLst>
        </xdr:cNvPr>
        <xdr:cNvSpPr/>
      </xdr:nvSpPr>
      <xdr:spPr>
        <a:xfrm>
          <a:off x="0" y="6628970"/>
          <a:ext cx="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233362</xdr:colOff>
      <xdr:row>21</xdr:row>
      <xdr:rowOff>75770</xdr:rowOff>
    </xdr:from>
    <xdr:to>
      <xdr:col>15</xdr:col>
      <xdr:colOff>633412</xdr:colOff>
      <xdr:row>33</xdr:row>
      <xdr:rowOff>133370</xdr:rowOff>
    </xdr:to>
    <xdr:sp macro="" textlink="">
      <xdr:nvSpPr>
        <xdr:cNvPr id="12" name="Rectangle : coins arrondis 3">
          <a:extLst>
            <a:ext uri="{FF2B5EF4-FFF2-40B4-BE49-F238E27FC236}">
              <a16:creationId xmlns:a16="http://schemas.microsoft.com/office/drawing/2014/main" id="{4E9E5D80-825D-43F1-87A6-0F227B9C3695}"/>
            </a:ext>
          </a:extLst>
        </xdr:cNvPr>
        <xdr:cNvSpPr/>
      </xdr:nvSpPr>
      <xdr:spPr>
        <a:xfrm>
          <a:off x="7853362" y="4076270"/>
          <a:ext cx="421005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16</xdr:col>
      <xdr:colOff>638175</xdr:colOff>
      <xdr:row>21</xdr:row>
      <xdr:rowOff>75770</xdr:rowOff>
    </xdr:from>
    <xdr:to>
      <xdr:col>22</xdr:col>
      <xdr:colOff>276225</xdr:colOff>
      <xdr:row>33</xdr:row>
      <xdr:rowOff>133370</xdr:rowOff>
    </xdr:to>
    <xdr:sp macro="" textlink="">
      <xdr:nvSpPr>
        <xdr:cNvPr id="13" name="Rectangle : coins arrondis 3">
          <a:extLst>
            <a:ext uri="{FF2B5EF4-FFF2-40B4-BE49-F238E27FC236}">
              <a16:creationId xmlns:a16="http://schemas.microsoft.com/office/drawing/2014/main" id="{2F994481-48B2-4B26-9618-A8F9239CC5CF}"/>
            </a:ext>
          </a:extLst>
        </xdr:cNvPr>
        <xdr:cNvSpPr/>
      </xdr:nvSpPr>
      <xdr:spPr>
        <a:xfrm>
          <a:off x="12830175" y="4076270"/>
          <a:ext cx="421005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447675</xdr:colOff>
      <xdr:row>7</xdr:row>
      <xdr:rowOff>19050</xdr:rowOff>
    </xdr:from>
    <xdr:to>
      <xdr:col>2</xdr:col>
      <xdr:colOff>438150</xdr:colOff>
      <xdr:row>9</xdr:row>
      <xdr:rowOff>28575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839AB2C4-AD42-43AD-A624-D370A06F9788}"/>
            </a:ext>
          </a:extLst>
        </xdr:cNvPr>
        <xdr:cNvSpPr txBox="1"/>
      </xdr:nvSpPr>
      <xdr:spPr>
        <a:xfrm>
          <a:off x="447675" y="1352550"/>
          <a:ext cx="151447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000" b="1">
              <a:solidFill>
                <a:schemeClr val="bg1"/>
              </a:solidFill>
            </a:rPr>
            <a:t>Accessibilité</a:t>
          </a:r>
          <a:endParaRPr lang="fr-FR" sz="3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15</xdr:col>
      <xdr:colOff>438149</xdr:colOff>
      <xdr:row>2</xdr:row>
      <xdr:rowOff>114300</xdr:rowOff>
    </xdr:from>
    <xdr:to>
      <xdr:col>16</xdr:col>
      <xdr:colOff>628649</xdr:colOff>
      <xdr:row>7</xdr:row>
      <xdr:rowOff>114300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E3127F91-A515-437C-958A-2503AD4FF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68149" y="495300"/>
          <a:ext cx="952500" cy="952500"/>
        </a:xfrm>
        <a:prstGeom prst="rect">
          <a:avLst/>
        </a:prstGeom>
      </xdr:spPr>
    </xdr:pic>
    <xdr:clientData/>
  </xdr:twoCellAnchor>
  <xdr:twoCellAnchor>
    <xdr:from>
      <xdr:col>16</xdr:col>
      <xdr:colOff>581024</xdr:colOff>
      <xdr:row>3</xdr:row>
      <xdr:rowOff>19050</xdr:rowOff>
    </xdr:from>
    <xdr:to>
      <xdr:col>19</xdr:col>
      <xdr:colOff>276225</xdr:colOff>
      <xdr:row>5</xdr:row>
      <xdr:rowOff>57150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4F8D469-A523-4C58-BDDD-8180BC891DA5}"/>
            </a:ext>
          </a:extLst>
        </xdr:cNvPr>
        <xdr:cNvSpPr txBox="1"/>
      </xdr:nvSpPr>
      <xdr:spPr>
        <a:xfrm>
          <a:off x="12773024" y="590550"/>
          <a:ext cx="1981201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400" b="1">
              <a:solidFill>
                <a:schemeClr val="bg1"/>
              </a:solidFill>
            </a:rPr>
            <a:t>UTILISATEUR:</a:t>
          </a:r>
        </a:p>
      </xdr:txBody>
    </xdr:sp>
    <xdr:clientData/>
  </xdr:twoCellAnchor>
  <xdr:twoCellAnchor editAs="oneCell">
    <xdr:from>
      <xdr:col>1</xdr:col>
      <xdr:colOff>57149</xdr:colOff>
      <xdr:row>2</xdr:row>
      <xdr:rowOff>171450</xdr:rowOff>
    </xdr:from>
    <xdr:to>
      <xdr:col>2</xdr:col>
      <xdr:colOff>152399</xdr:colOff>
      <xdr:row>7</xdr:row>
      <xdr:rowOff>76200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992439EB-756F-4BDB-AE56-A77F314C9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9149" y="552450"/>
          <a:ext cx="857250" cy="857250"/>
        </a:xfrm>
        <a:prstGeom prst="rect">
          <a:avLst/>
        </a:prstGeom>
      </xdr:spPr>
    </xdr:pic>
    <xdr:clientData/>
  </xdr:twoCellAnchor>
  <xdr:twoCellAnchor>
    <xdr:from>
      <xdr:col>15</xdr:col>
      <xdr:colOff>371475</xdr:colOff>
      <xdr:row>7</xdr:row>
      <xdr:rowOff>190070</xdr:rowOff>
    </xdr:from>
    <xdr:to>
      <xdr:col>18</xdr:col>
      <xdr:colOff>561975</xdr:colOff>
      <xdr:row>10</xdr:row>
      <xdr:rowOff>123825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5E7C1CCD-EF89-4817-A259-87E1345F51EC}"/>
            </a:ext>
          </a:extLst>
        </xdr:cNvPr>
        <xdr:cNvSpPr txBox="1"/>
      </xdr:nvSpPr>
      <xdr:spPr>
        <a:xfrm>
          <a:off x="11801475" y="1523570"/>
          <a:ext cx="2476500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chemeClr val="bg1"/>
              </a:solidFill>
            </a:rPr>
            <a:t>QUICK ACTION</a:t>
          </a:r>
        </a:p>
      </xdr:txBody>
    </xdr:sp>
    <xdr:clientData/>
  </xdr:twoCellAnchor>
  <xdr:twoCellAnchor>
    <xdr:from>
      <xdr:col>16</xdr:col>
      <xdr:colOff>47625</xdr:colOff>
      <xdr:row>12</xdr:row>
      <xdr:rowOff>114301</xdr:rowOff>
    </xdr:from>
    <xdr:to>
      <xdr:col>21</xdr:col>
      <xdr:colOff>438150</xdr:colOff>
      <xdr:row>17</xdr:row>
      <xdr:rowOff>28575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DF17E290-699E-429C-B9E3-59FC8CE7287A}"/>
            </a:ext>
          </a:extLst>
        </xdr:cNvPr>
        <xdr:cNvGrpSpPr/>
      </xdr:nvGrpSpPr>
      <xdr:grpSpPr>
        <a:xfrm>
          <a:off x="12239625" y="2400301"/>
          <a:ext cx="4200525" cy="866774"/>
          <a:chOff x="12668250" y="2390774"/>
          <a:chExt cx="3362325" cy="695325"/>
        </a:xfrm>
      </xdr:grpSpPr>
      <xdr:sp macro="[0]!frorm" textlink="">
        <xdr:nvSpPr>
          <xdr:cNvPr id="27" name="Rectangle : coins arrondis 3">
            <a:extLst>
              <a:ext uri="{FF2B5EF4-FFF2-40B4-BE49-F238E27FC236}">
                <a16:creationId xmlns:a16="http://schemas.microsoft.com/office/drawing/2014/main" id="{93B95E55-5AF1-450E-9D10-4906DDABF462}"/>
              </a:ext>
            </a:extLst>
          </xdr:cNvPr>
          <xdr:cNvSpPr/>
        </xdr:nvSpPr>
        <xdr:spPr>
          <a:xfrm>
            <a:off x="12668250" y="2400300"/>
            <a:ext cx="3362325" cy="647720"/>
          </a:xfrm>
          <a:custGeom>
            <a:avLst/>
            <a:gdLst>
              <a:gd name="connsiteX0" fmla="*/ 0 w 15316201"/>
              <a:gd name="connsiteY0" fmla="*/ 1068409 h 6410325"/>
              <a:gd name="connsiteX1" fmla="*/ 1068409 w 15316201"/>
              <a:gd name="connsiteY1" fmla="*/ 0 h 6410325"/>
              <a:gd name="connsiteX2" fmla="*/ 14247792 w 15316201"/>
              <a:gd name="connsiteY2" fmla="*/ 0 h 6410325"/>
              <a:gd name="connsiteX3" fmla="*/ 15316201 w 15316201"/>
              <a:gd name="connsiteY3" fmla="*/ 1068409 h 6410325"/>
              <a:gd name="connsiteX4" fmla="*/ 15316201 w 15316201"/>
              <a:gd name="connsiteY4" fmla="*/ 5341916 h 6410325"/>
              <a:gd name="connsiteX5" fmla="*/ 14247792 w 15316201"/>
              <a:gd name="connsiteY5" fmla="*/ 6410325 h 6410325"/>
              <a:gd name="connsiteX6" fmla="*/ 1068409 w 15316201"/>
              <a:gd name="connsiteY6" fmla="*/ 6410325 h 6410325"/>
              <a:gd name="connsiteX7" fmla="*/ 0 w 15316201"/>
              <a:gd name="connsiteY7" fmla="*/ 5341916 h 6410325"/>
              <a:gd name="connsiteX8" fmla="*/ 0 w 15316201"/>
              <a:gd name="connsiteY8" fmla="*/ 1068409 h 6410325"/>
              <a:gd name="connsiteX0" fmla="*/ 0 w 15325726"/>
              <a:gd name="connsiteY0" fmla="*/ 658834 h 6410325"/>
              <a:gd name="connsiteX1" fmla="*/ 1077934 w 15325726"/>
              <a:gd name="connsiteY1" fmla="*/ 0 h 6410325"/>
              <a:gd name="connsiteX2" fmla="*/ 14257317 w 15325726"/>
              <a:gd name="connsiteY2" fmla="*/ 0 h 6410325"/>
              <a:gd name="connsiteX3" fmla="*/ 15325726 w 15325726"/>
              <a:gd name="connsiteY3" fmla="*/ 1068409 h 6410325"/>
              <a:gd name="connsiteX4" fmla="*/ 15325726 w 15325726"/>
              <a:gd name="connsiteY4" fmla="*/ 5341916 h 6410325"/>
              <a:gd name="connsiteX5" fmla="*/ 14257317 w 15325726"/>
              <a:gd name="connsiteY5" fmla="*/ 6410325 h 6410325"/>
              <a:gd name="connsiteX6" fmla="*/ 1077934 w 15325726"/>
              <a:gd name="connsiteY6" fmla="*/ 6410325 h 6410325"/>
              <a:gd name="connsiteX7" fmla="*/ 9525 w 15325726"/>
              <a:gd name="connsiteY7" fmla="*/ 5341916 h 6410325"/>
              <a:gd name="connsiteX8" fmla="*/ 0 w 15325726"/>
              <a:gd name="connsiteY8" fmla="*/ 658834 h 6410325"/>
              <a:gd name="connsiteX0" fmla="*/ 0 w 15325726"/>
              <a:gd name="connsiteY0" fmla="*/ 658834 h 6411138"/>
              <a:gd name="connsiteX1" fmla="*/ 1077934 w 15325726"/>
              <a:gd name="connsiteY1" fmla="*/ 0 h 6411138"/>
              <a:gd name="connsiteX2" fmla="*/ 14257317 w 15325726"/>
              <a:gd name="connsiteY2" fmla="*/ 0 h 6411138"/>
              <a:gd name="connsiteX3" fmla="*/ 15325726 w 15325726"/>
              <a:gd name="connsiteY3" fmla="*/ 1068409 h 6411138"/>
              <a:gd name="connsiteX4" fmla="*/ 15325726 w 15325726"/>
              <a:gd name="connsiteY4" fmla="*/ 5341916 h 6411138"/>
              <a:gd name="connsiteX5" fmla="*/ 14257317 w 15325726"/>
              <a:gd name="connsiteY5" fmla="*/ 6410325 h 6411138"/>
              <a:gd name="connsiteX6" fmla="*/ 1077934 w 15325726"/>
              <a:gd name="connsiteY6" fmla="*/ 6410325 h 6411138"/>
              <a:gd name="connsiteX7" fmla="*/ 47625 w 15325726"/>
              <a:gd name="connsiteY7" fmla="*/ 5865791 h 6411138"/>
              <a:gd name="connsiteX8" fmla="*/ 0 w 15325726"/>
              <a:gd name="connsiteY8" fmla="*/ 658834 h 6411138"/>
              <a:gd name="connsiteX0" fmla="*/ 0 w 15325726"/>
              <a:gd name="connsiteY0" fmla="*/ 660253 h 6412557"/>
              <a:gd name="connsiteX1" fmla="*/ 1077934 w 15325726"/>
              <a:gd name="connsiteY1" fmla="*/ 1419 h 6412557"/>
              <a:gd name="connsiteX2" fmla="*/ 14257317 w 15325726"/>
              <a:gd name="connsiteY2" fmla="*/ 1419 h 6412557"/>
              <a:gd name="connsiteX3" fmla="*/ 15298744 w 15325726"/>
              <a:gd name="connsiteY3" fmla="*/ 535565 h 6412557"/>
              <a:gd name="connsiteX4" fmla="*/ 15325726 w 15325726"/>
              <a:gd name="connsiteY4" fmla="*/ 5343335 h 6412557"/>
              <a:gd name="connsiteX5" fmla="*/ 14257317 w 15325726"/>
              <a:gd name="connsiteY5" fmla="*/ 6411744 h 6412557"/>
              <a:gd name="connsiteX6" fmla="*/ 1077934 w 15325726"/>
              <a:gd name="connsiteY6" fmla="*/ 6411744 h 6412557"/>
              <a:gd name="connsiteX7" fmla="*/ 47625 w 15325726"/>
              <a:gd name="connsiteY7" fmla="*/ 5867210 h 6412557"/>
              <a:gd name="connsiteX8" fmla="*/ 0 w 15325726"/>
              <a:gd name="connsiteY8" fmla="*/ 660253 h 6412557"/>
              <a:gd name="connsiteX0" fmla="*/ 0 w 15325726"/>
              <a:gd name="connsiteY0" fmla="*/ 660253 h 6421528"/>
              <a:gd name="connsiteX1" fmla="*/ 1077934 w 15325726"/>
              <a:gd name="connsiteY1" fmla="*/ 1419 h 6421528"/>
              <a:gd name="connsiteX2" fmla="*/ 14257317 w 15325726"/>
              <a:gd name="connsiteY2" fmla="*/ 1419 h 6421528"/>
              <a:gd name="connsiteX3" fmla="*/ 15298744 w 15325726"/>
              <a:gd name="connsiteY3" fmla="*/ 535565 h 6421528"/>
              <a:gd name="connsiteX4" fmla="*/ 15325726 w 15325726"/>
              <a:gd name="connsiteY4" fmla="*/ 5940450 h 6421528"/>
              <a:gd name="connsiteX5" fmla="*/ 14257317 w 15325726"/>
              <a:gd name="connsiteY5" fmla="*/ 6411744 h 6421528"/>
              <a:gd name="connsiteX6" fmla="*/ 1077934 w 15325726"/>
              <a:gd name="connsiteY6" fmla="*/ 6411744 h 6421528"/>
              <a:gd name="connsiteX7" fmla="*/ 47625 w 15325726"/>
              <a:gd name="connsiteY7" fmla="*/ 5867210 h 6421528"/>
              <a:gd name="connsiteX8" fmla="*/ 0 w 15325726"/>
              <a:gd name="connsiteY8" fmla="*/ 660253 h 642152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5325726" h="6421528">
                <a:moveTo>
                  <a:pt x="0" y="660253"/>
                </a:moveTo>
                <a:cubicBezTo>
                  <a:pt x="0" y="70187"/>
                  <a:pt x="487868" y="1419"/>
                  <a:pt x="1077934" y="1419"/>
                </a:cubicBezTo>
                <a:lnTo>
                  <a:pt x="14257317" y="1419"/>
                </a:lnTo>
                <a:cubicBezTo>
                  <a:pt x="14847383" y="1419"/>
                  <a:pt x="15298744" y="-54501"/>
                  <a:pt x="15298744" y="535565"/>
                </a:cubicBezTo>
                <a:lnTo>
                  <a:pt x="15325726" y="5940450"/>
                </a:lnTo>
                <a:cubicBezTo>
                  <a:pt x="15325726" y="6530516"/>
                  <a:pt x="14847383" y="6411744"/>
                  <a:pt x="14257317" y="6411744"/>
                </a:cubicBezTo>
                <a:lnTo>
                  <a:pt x="1077934" y="6411744"/>
                </a:lnTo>
                <a:cubicBezTo>
                  <a:pt x="487868" y="6411744"/>
                  <a:pt x="47625" y="6457276"/>
                  <a:pt x="47625" y="5867210"/>
                </a:cubicBezTo>
                <a:cubicBezTo>
                  <a:pt x="47625" y="4442708"/>
                  <a:pt x="0" y="2084755"/>
                  <a:pt x="0" y="660253"/>
                </a:cubicBezTo>
                <a:close/>
              </a:path>
            </a:pathLst>
          </a:custGeom>
          <a:solidFill>
            <a:schemeClr val="accent2">
              <a:lumMod val="75000"/>
            </a:schemeClr>
          </a:solidFill>
          <a:ln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frorm">
        <xdr:nvPicPr>
          <xdr:cNvPr id="30" name="Image 29">
            <a:extLst>
              <a:ext uri="{FF2B5EF4-FFF2-40B4-BE49-F238E27FC236}">
                <a16:creationId xmlns:a16="http://schemas.microsoft.com/office/drawing/2014/main" id="{1ECD0FBF-5125-4F2D-A1D1-89ABE86C46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2763499" y="2390774"/>
            <a:ext cx="695325" cy="695325"/>
          </a:xfrm>
          <a:prstGeom prst="rect">
            <a:avLst/>
          </a:prstGeom>
        </xdr:spPr>
      </xdr:pic>
      <xdr:sp macro="[0]!frorm" textlink="">
        <xdr:nvSpPr>
          <xdr:cNvPr id="31" name="ZoneTexte 30">
            <a:extLst>
              <a:ext uri="{FF2B5EF4-FFF2-40B4-BE49-F238E27FC236}">
                <a16:creationId xmlns:a16="http://schemas.microsoft.com/office/drawing/2014/main" id="{DDCD8BF0-F67C-43D9-9D6A-70767E6D776A}"/>
              </a:ext>
            </a:extLst>
          </xdr:cNvPr>
          <xdr:cNvSpPr txBox="1"/>
        </xdr:nvSpPr>
        <xdr:spPr>
          <a:xfrm>
            <a:off x="13458825" y="2524125"/>
            <a:ext cx="2476500" cy="505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800" b="1">
                <a:solidFill>
                  <a:schemeClr val="bg1"/>
                </a:solidFill>
              </a:rPr>
              <a:t>Démarrer</a:t>
            </a:r>
            <a:r>
              <a:rPr lang="fr-FR" sz="1800" b="1" baseline="0">
                <a:solidFill>
                  <a:schemeClr val="bg1"/>
                </a:solidFill>
              </a:rPr>
              <a:t> LA SAISIE</a:t>
            </a:r>
            <a:endParaRPr lang="fr-FR" sz="18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47624</xdr:colOff>
      <xdr:row>7</xdr:row>
      <xdr:rowOff>190070</xdr:rowOff>
    </xdr:from>
    <xdr:to>
      <xdr:col>7</xdr:col>
      <xdr:colOff>761999</xdr:colOff>
      <xdr:row>10</xdr:row>
      <xdr:rowOff>123825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2D1A5FE-0332-4B8D-BA94-3CAB50D4D7B2}"/>
            </a:ext>
          </a:extLst>
        </xdr:cNvPr>
        <xdr:cNvSpPr txBox="1"/>
      </xdr:nvSpPr>
      <xdr:spPr>
        <a:xfrm>
          <a:off x="3095624" y="1523570"/>
          <a:ext cx="3000375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chemeClr val="bg1"/>
              </a:solidFill>
            </a:rPr>
            <a:t>INTRODUCTION</a:t>
          </a:r>
        </a:p>
      </xdr:txBody>
    </xdr:sp>
    <xdr:clientData/>
  </xdr:twoCellAnchor>
  <xdr:twoCellAnchor>
    <xdr:from>
      <xdr:col>4</xdr:col>
      <xdr:colOff>304800</xdr:colOff>
      <xdr:row>10</xdr:row>
      <xdr:rowOff>85295</xdr:rowOff>
    </xdr:from>
    <xdr:to>
      <xdr:col>10</xdr:col>
      <xdr:colOff>514350</xdr:colOff>
      <xdr:row>13</xdr:row>
      <xdr:rowOff>19050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12247ED5-3EBE-41E4-85D3-563F5ACEBAD0}"/>
            </a:ext>
          </a:extLst>
        </xdr:cNvPr>
        <xdr:cNvSpPr txBox="1"/>
      </xdr:nvSpPr>
      <xdr:spPr>
        <a:xfrm>
          <a:off x="3352800" y="1990295"/>
          <a:ext cx="4781550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 b="1">
              <a:solidFill>
                <a:schemeClr val="bg1"/>
              </a:solidFill>
            </a:rPr>
            <a:t>FORMULAIRE D'Accessibilité</a:t>
          </a:r>
        </a:p>
      </xdr:txBody>
    </xdr:sp>
    <xdr:clientData/>
  </xdr:twoCellAnchor>
  <xdr:twoCellAnchor>
    <xdr:from>
      <xdr:col>4</xdr:col>
      <xdr:colOff>428625</xdr:colOff>
      <xdr:row>12</xdr:row>
      <xdr:rowOff>113870</xdr:rowOff>
    </xdr:from>
    <xdr:to>
      <xdr:col>10</xdr:col>
      <xdr:colOff>638175</xdr:colOff>
      <xdr:row>19</xdr:row>
      <xdr:rowOff>9525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6C8EDC7C-CE17-407A-82CB-55A771E129E4}"/>
            </a:ext>
          </a:extLst>
        </xdr:cNvPr>
        <xdr:cNvSpPr txBox="1"/>
      </xdr:nvSpPr>
      <xdr:spPr>
        <a:xfrm>
          <a:off x="3476625" y="2399870"/>
          <a:ext cx="4781550" cy="12291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0">
              <a:solidFill>
                <a:schemeClr val="bg1"/>
              </a:solidFill>
            </a:rPr>
            <a:t>ANALYSE &amp; Audit des</a:t>
          </a:r>
          <a:r>
            <a:rPr lang="fr-FR" sz="1800" b="0" baseline="0">
              <a:solidFill>
                <a:schemeClr val="bg1"/>
              </a:solidFill>
            </a:rPr>
            <a:t> aménagements</a:t>
          </a:r>
        </a:p>
        <a:p>
          <a:endParaRPr lang="fr-FR" sz="1800" b="0" baseline="0">
            <a:solidFill>
              <a:schemeClr val="bg1"/>
            </a:solidFill>
          </a:endParaRPr>
        </a:p>
        <a:p>
          <a:r>
            <a:rPr lang="fr-FR" sz="1800" b="0" baseline="0">
              <a:solidFill>
                <a:schemeClr val="bg1"/>
              </a:solidFill>
            </a:rPr>
            <a:t>simplifiez votre Saisie des données rapidement et efficacement</a:t>
          </a:r>
          <a:endParaRPr lang="fr-FR" sz="2400" b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13</xdr:col>
      <xdr:colOff>390524</xdr:colOff>
      <xdr:row>7</xdr:row>
      <xdr:rowOff>142445</xdr:rowOff>
    </xdr:from>
    <xdr:to>
      <xdr:col>14</xdr:col>
      <xdr:colOff>380999</xdr:colOff>
      <xdr:row>11</xdr:row>
      <xdr:rowOff>132920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7E3FC844-E31B-44DF-ACD4-568C0A584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96524" y="1475945"/>
          <a:ext cx="752475" cy="752475"/>
        </a:xfrm>
        <a:prstGeom prst="rect">
          <a:avLst/>
        </a:prstGeom>
      </xdr:spPr>
    </xdr:pic>
    <xdr:clientData/>
  </xdr:twoCellAnchor>
  <xdr:twoCellAnchor>
    <xdr:from>
      <xdr:col>4</xdr:col>
      <xdr:colOff>38100</xdr:colOff>
      <xdr:row>21</xdr:row>
      <xdr:rowOff>75770</xdr:rowOff>
    </xdr:from>
    <xdr:to>
      <xdr:col>7</xdr:col>
      <xdr:colOff>752475</xdr:colOff>
      <xdr:row>24</xdr:row>
      <xdr:rowOff>9525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6F7C9D39-FA1C-4DAF-BD6F-71104EF39271}"/>
            </a:ext>
          </a:extLst>
        </xdr:cNvPr>
        <xdr:cNvSpPr txBox="1"/>
      </xdr:nvSpPr>
      <xdr:spPr>
        <a:xfrm>
          <a:off x="3086100" y="4076270"/>
          <a:ext cx="3000375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chemeClr val="bg1"/>
              </a:solidFill>
            </a:rPr>
            <a:t>DOCUMENTS CONFORME</a:t>
          </a:r>
        </a:p>
      </xdr:txBody>
    </xdr:sp>
    <xdr:clientData/>
  </xdr:twoCellAnchor>
  <xdr:twoCellAnchor>
    <xdr:from>
      <xdr:col>10</xdr:col>
      <xdr:colOff>442912</xdr:colOff>
      <xdr:row>21</xdr:row>
      <xdr:rowOff>66245</xdr:rowOff>
    </xdr:from>
    <xdr:to>
      <xdr:col>14</xdr:col>
      <xdr:colOff>395287</xdr:colOff>
      <xdr:row>24</xdr:row>
      <xdr:rowOff>0</xdr:rowOff>
    </xdr:to>
    <xdr:sp macro="" textlink="">
      <xdr:nvSpPr>
        <xdr:cNvPr id="38" name="ZoneTexte 37">
          <a:extLst>
            <a:ext uri="{FF2B5EF4-FFF2-40B4-BE49-F238E27FC236}">
              <a16:creationId xmlns:a16="http://schemas.microsoft.com/office/drawing/2014/main" id="{3AE1D00A-F625-47CD-ADD6-4DBF4617FF51}"/>
            </a:ext>
          </a:extLst>
        </xdr:cNvPr>
        <xdr:cNvSpPr txBox="1"/>
      </xdr:nvSpPr>
      <xdr:spPr>
        <a:xfrm>
          <a:off x="8062912" y="4066745"/>
          <a:ext cx="3000375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chemeClr val="bg1"/>
              </a:solidFill>
            </a:rPr>
            <a:t>Statistique</a:t>
          </a:r>
        </a:p>
      </xdr:txBody>
    </xdr:sp>
    <xdr:clientData/>
  </xdr:twoCellAnchor>
  <xdr:twoCellAnchor>
    <xdr:from>
      <xdr:col>17</xdr:col>
      <xdr:colOff>95250</xdr:colOff>
      <xdr:row>21</xdr:row>
      <xdr:rowOff>56720</xdr:rowOff>
    </xdr:from>
    <xdr:to>
      <xdr:col>21</xdr:col>
      <xdr:colOff>47625</xdr:colOff>
      <xdr:row>23</xdr:row>
      <xdr:rowOff>180975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8DC8FA27-AC6E-4703-BF79-8A818EED7249}"/>
            </a:ext>
          </a:extLst>
        </xdr:cNvPr>
        <xdr:cNvSpPr txBox="1"/>
      </xdr:nvSpPr>
      <xdr:spPr>
        <a:xfrm>
          <a:off x="13049250" y="4057220"/>
          <a:ext cx="3000375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chemeClr val="bg1"/>
              </a:solidFill>
            </a:rPr>
            <a:t>Statistique</a:t>
          </a:r>
        </a:p>
      </xdr:txBody>
    </xdr:sp>
    <xdr:clientData/>
  </xdr:twoCellAnchor>
  <xdr:twoCellAnchor>
    <xdr:from>
      <xdr:col>17</xdr:col>
      <xdr:colOff>76200</xdr:colOff>
      <xdr:row>23</xdr:row>
      <xdr:rowOff>66675</xdr:rowOff>
    </xdr:from>
    <xdr:to>
      <xdr:col>22</xdr:col>
      <xdr:colOff>142875</xdr:colOff>
      <xdr:row>33</xdr:row>
      <xdr:rowOff>47195</xdr:rowOff>
    </xdr:to>
    <xdr:graphicFrame macro="">
      <xdr:nvGraphicFramePr>
        <xdr:cNvPr id="40" name="Graphique 39">
          <a:extLst>
            <a:ext uri="{FF2B5EF4-FFF2-40B4-BE49-F238E27FC236}">
              <a16:creationId xmlns:a16="http://schemas.microsoft.com/office/drawing/2014/main" id="{03759521-106A-430B-BD10-43E258B3E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114300</xdr:colOff>
      <xdr:row>25</xdr:row>
      <xdr:rowOff>38100</xdr:rowOff>
    </xdr:from>
    <xdr:to>
      <xdr:col>13</xdr:col>
      <xdr:colOff>657225</xdr:colOff>
      <xdr:row>30</xdr:row>
      <xdr:rowOff>47625</xdr:rowOff>
    </xdr:to>
    <xdr:sp macro="" textlink="Feuil2!E3">
      <xdr:nvSpPr>
        <xdr:cNvPr id="41" name="Rectangle 40">
          <a:extLst>
            <a:ext uri="{FF2B5EF4-FFF2-40B4-BE49-F238E27FC236}">
              <a16:creationId xmlns:a16="http://schemas.microsoft.com/office/drawing/2014/main" id="{E311ED44-1F99-4AA4-A6D9-CAB9F7FCF58F}"/>
            </a:ext>
          </a:extLst>
        </xdr:cNvPr>
        <xdr:cNvSpPr/>
      </xdr:nvSpPr>
      <xdr:spPr>
        <a:xfrm>
          <a:off x="9258300" y="4800600"/>
          <a:ext cx="1304925" cy="962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4A2213C6-D006-4833-8A78-16C98D3CA159}" type="TxLink">
            <a:rPr lang="en-US" sz="6000" b="1" i="0" u="none" strike="noStrike">
              <a:solidFill>
                <a:srgbClr val="00B0F0"/>
              </a:solidFill>
              <a:latin typeface="Calibri"/>
              <a:ea typeface="Calibri"/>
              <a:cs typeface="Calibri"/>
            </a:rPr>
            <a:pPr algn="ctr"/>
            <a:t>5</a:t>
          </a:fld>
          <a:endParaRPr lang="fr-FR" sz="6000" b="1">
            <a:solidFill>
              <a:srgbClr val="00B0F0"/>
            </a:solidFill>
          </a:endParaRPr>
        </a:p>
      </xdr:txBody>
    </xdr:sp>
    <xdr:clientData/>
  </xdr:twoCellAnchor>
  <xdr:twoCellAnchor>
    <xdr:from>
      <xdr:col>10</xdr:col>
      <xdr:colOff>471487</xdr:colOff>
      <xdr:row>22</xdr:row>
      <xdr:rowOff>180545</xdr:rowOff>
    </xdr:from>
    <xdr:to>
      <xdr:col>14</xdr:col>
      <xdr:colOff>423862</xdr:colOff>
      <xdr:row>25</xdr:row>
      <xdr:rowOff>114300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888B9401-6A84-4E7B-9F84-4518208258BC}"/>
            </a:ext>
          </a:extLst>
        </xdr:cNvPr>
        <xdr:cNvSpPr txBox="1"/>
      </xdr:nvSpPr>
      <xdr:spPr>
        <a:xfrm>
          <a:off x="8091487" y="4371545"/>
          <a:ext cx="3000375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b="1">
              <a:solidFill>
                <a:schemeClr val="bg1"/>
              </a:solidFill>
            </a:rPr>
            <a:t>TOTAL DES DOCUMENT</a:t>
          </a:r>
          <a:r>
            <a:rPr lang="fr-FR" sz="1600" b="1" baseline="0">
              <a:solidFill>
                <a:schemeClr val="bg1"/>
              </a:solidFill>
            </a:rPr>
            <a:t> TRAITER</a:t>
          </a:r>
          <a:endParaRPr lang="fr-F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333375</xdr:colOff>
      <xdr:row>24</xdr:row>
      <xdr:rowOff>171451</xdr:rowOff>
    </xdr:from>
    <xdr:to>
      <xdr:col>7</xdr:col>
      <xdr:colOff>466725</xdr:colOff>
      <xdr:row>30</xdr:row>
      <xdr:rowOff>190071</xdr:rowOff>
    </xdr:to>
    <xdr:sp macro="" textlink="Feuil2!K3">
      <xdr:nvSpPr>
        <xdr:cNvPr id="44" name="Rectangle 43">
          <a:extLst>
            <a:ext uri="{FF2B5EF4-FFF2-40B4-BE49-F238E27FC236}">
              <a16:creationId xmlns:a16="http://schemas.microsoft.com/office/drawing/2014/main" id="{C7B91BB5-5120-4CB6-861F-C15AAD01A379}"/>
            </a:ext>
          </a:extLst>
        </xdr:cNvPr>
        <xdr:cNvSpPr/>
      </xdr:nvSpPr>
      <xdr:spPr>
        <a:xfrm>
          <a:off x="4143375" y="4743451"/>
          <a:ext cx="1657350" cy="11616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fld id="{5D26D5C0-4494-44DF-A310-1499AB961DF3}" type="TxLink">
            <a:rPr lang="en-US" sz="6000" b="1" i="0" u="none" strike="noStrike">
              <a:solidFill>
                <a:schemeClr val="accent6"/>
              </a:solidFill>
              <a:latin typeface="Calibri"/>
              <a:ea typeface="Calibri"/>
              <a:cs typeface="Calibri"/>
            </a:rPr>
            <a:pPr marL="0" indent="0" algn="ctr"/>
            <a:t>5</a:t>
          </a:fld>
          <a:endParaRPr lang="fr-FR" sz="6000" b="1" i="0" u="none" strike="noStrike">
            <a:solidFill>
              <a:schemeClr val="accent6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180975</xdr:colOff>
      <xdr:row>10</xdr:row>
      <xdr:rowOff>57149</xdr:rowOff>
    </xdr:from>
    <xdr:to>
      <xdr:col>3</xdr:col>
      <xdr:colOff>0</xdr:colOff>
      <xdr:row>17</xdr:row>
      <xdr:rowOff>448</xdr:rowOff>
    </xdr:to>
    <xdr:sp macro="" textlink="">
      <xdr:nvSpPr>
        <xdr:cNvPr id="46" name="Rectangle : coins arrondis 3">
          <a:extLst>
            <a:ext uri="{FF2B5EF4-FFF2-40B4-BE49-F238E27FC236}">
              <a16:creationId xmlns:a16="http://schemas.microsoft.com/office/drawing/2014/main" id="{22367E4A-DA88-4DDE-9873-6F684D6CE5FA}"/>
            </a:ext>
          </a:extLst>
        </xdr:cNvPr>
        <xdr:cNvSpPr/>
      </xdr:nvSpPr>
      <xdr:spPr>
        <a:xfrm>
          <a:off x="180975" y="1962149"/>
          <a:ext cx="2105025" cy="1276799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714375</xdr:colOff>
      <xdr:row>10</xdr:row>
      <xdr:rowOff>152399</xdr:rowOff>
    </xdr:from>
    <xdr:to>
      <xdr:col>2</xdr:col>
      <xdr:colOff>142875</xdr:colOff>
      <xdr:row>15</xdr:row>
      <xdr:rowOff>152399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BFB05702-65CE-41CB-A617-9DAD82E5D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5" y="2057399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21</xdr:col>
      <xdr:colOff>276225</xdr:colOff>
      <xdr:row>8</xdr:row>
      <xdr:rowOff>75770</xdr:rowOff>
    </xdr:from>
    <xdr:to>
      <xdr:col>22</xdr:col>
      <xdr:colOff>123825</xdr:colOff>
      <xdr:row>11</xdr:row>
      <xdr:rowOff>113870</xdr:rowOff>
    </xdr:to>
    <xdr:pic>
      <xdr:nvPicPr>
        <xdr:cNvPr id="47" name="Image 46">
          <a:extLst>
            <a:ext uri="{FF2B5EF4-FFF2-40B4-BE49-F238E27FC236}">
              <a16:creationId xmlns:a16="http://schemas.microsoft.com/office/drawing/2014/main" id="{5670F8D0-4F28-4668-A49D-43728607AB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278225" y="1599770"/>
          <a:ext cx="609600" cy="609600"/>
        </a:xfrm>
        <a:prstGeom prst="rect">
          <a:avLst/>
        </a:prstGeom>
      </xdr:spPr>
    </xdr:pic>
    <xdr:clientData/>
  </xdr:twoCellAnchor>
  <xdr:twoCellAnchor>
    <xdr:from>
      <xdr:col>0</xdr:col>
      <xdr:colOff>438151</xdr:colOff>
      <xdr:row>25</xdr:row>
      <xdr:rowOff>28574</xdr:rowOff>
    </xdr:from>
    <xdr:to>
      <xdr:col>2</xdr:col>
      <xdr:colOff>457201</xdr:colOff>
      <xdr:row>35</xdr:row>
      <xdr:rowOff>104775</xdr:rowOff>
    </xdr:to>
    <xdr:sp macro="" textlink="">
      <xdr:nvSpPr>
        <xdr:cNvPr id="48" name="Rectangle : coins arrondis 3">
          <a:extLst>
            <a:ext uri="{FF2B5EF4-FFF2-40B4-BE49-F238E27FC236}">
              <a16:creationId xmlns:a16="http://schemas.microsoft.com/office/drawing/2014/main" id="{29C7B033-E712-44CA-8C19-588E77033582}"/>
            </a:ext>
          </a:extLst>
        </xdr:cNvPr>
        <xdr:cNvSpPr/>
      </xdr:nvSpPr>
      <xdr:spPr>
        <a:xfrm>
          <a:off x="438151" y="4791074"/>
          <a:ext cx="1543050" cy="1981201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  <a:p>
          <a:pPr algn="l"/>
          <a:endParaRPr lang="fr-FR" sz="1100"/>
        </a:p>
        <a:p>
          <a:pPr algn="l"/>
          <a:endParaRPr lang="fr-FR" sz="1100"/>
        </a:p>
        <a:p>
          <a:pPr algn="l"/>
          <a:endParaRPr lang="fr-FR" sz="1100"/>
        </a:p>
        <a:p>
          <a:pPr algn="l"/>
          <a:r>
            <a:rPr lang="fr-FR" sz="1800" u="sng"/>
            <a:t>REMINDER</a:t>
          </a:r>
          <a:endParaRPr lang="fr-FR" sz="1100" u="sng"/>
        </a:p>
        <a:p>
          <a:pPr algn="l"/>
          <a:endParaRPr lang="fr-FR" sz="1100"/>
        </a:p>
        <a:p>
          <a:pPr algn="l"/>
          <a:r>
            <a:rPr lang="fr-FR" sz="1400"/>
            <a:t>REMEMBER TO ALWAYS BE HAPPY :)</a:t>
          </a:r>
        </a:p>
      </xdr:txBody>
    </xdr:sp>
    <xdr:clientData/>
  </xdr:twoCellAnchor>
  <xdr:twoCellAnchor editAs="oneCell">
    <xdr:from>
      <xdr:col>0</xdr:col>
      <xdr:colOff>466726</xdr:colOff>
      <xdr:row>25</xdr:row>
      <xdr:rowOff>28574</xdr:rowOff>
    </xdr:from>
    <xdr:to>
      <xdr:col>1</xdr:col>
      <xdr:colOff>276225</xdr:colOff>
      <xdr:row>28</xdr:row>
      <xdr:rowOff>28573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00BF845C-9393-48B5-ABC5-ED890B44E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66726" y="4791074"/>
          <a:ext cx="571499" cy="571499"/>
        </a:xfrm>
        <a:prstGeom prst="rect">
          <a:avLst/>
        </a:prstGeom>
      </xdr:spPr>
    </xdr:pic>
    <xdr:clientData/>
  </xdr:twoCellAnchor>
  <xdr:twoCellAnchor>
    <xdr:from>
      <xdr:col>16</xdr:col>
      <xdr:colOff>695325</xdr:colOff>
      <xdr:row>5</xdr:row>
      <xdr:rowOff>9525</xdr:rowOff>
    </xdr:from>
    <xdr:to>
      <xdr:col>19</xdr:col>
      <xdr:colOff>9525</xdr:colOff>
      <xdr:row>6</xdr:row>
      <xdr:rowOff>104774</xdr:rowOff>
    </xdr:to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CC05E10F-6BFE-4ADA-8DA7-9DE9269B0600}"/>
            </a:ext>
          </a:extLst>
        </xdr:cNvPr>
        <xdr:cNvSpPr txBox="1"/>
      </xdr:nvSpPr>
      <xdr:spPr>
        <a:xfrm>
          <a:off x="12887325" y="962025"/>
          <a:ext cx="1600200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="0">
              <a:solidFill>
                <a:schemeClr val="bg1"/>
              </a:solidFill>
            </a:rPr>
            <a:t>HAMDANI MOHAMED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DANI Mohamed [EIDS]" refreshedDate="46104.654887268516" createdVersion="7" refreshedVersion="7" minRefreshableVersion="3" recordCount="5" xr:uid="{B9657FCA-0157-4984-8D6D-11337D1C6040}">
  <cacheSource type="worksheet">
    <worksheetSource ref="A1:H6" sheet="SHEET_TRACE_NAME"/>
  </cacheSource>
  <cacheFields count="8">
    <cacheField name="NomFichier" numFmtId="0">
      <sharedItems/>
    </cacheField>
    <cacheField name="Domaine" numFmtId="0">
      <sharedItems count="2">
        <s v="DIRCO"/>
        <s v="CONTRATHEQUE"/>
      </sharedItems>
    </cacheField>
    <cacheField name="SousDomaine" numFmtId="0">
      <sharedItems count="2">
        <s v="FICHES CLIENTS"/>
        <s v="CONDITIONS GENERALES"/>
      </sharedItems>
    </cacheField>
    <cacheField name="Statut" numFmtId="0">
      <sharedItems count="1">
        <s v="TRAITES"/>
      </sharedItems>
    </cacheField>
    <cacheField name="Date_A_TRAITER" numFmtId="22">
      <sharedItems containsSemiMixedTypes="0" containsNonDate="0" containsDate="1" containsString="0" minDate="2026-03-11T13:18:44" maxDate="2026-03-23T09:43:55"/>
    </cacheField>
    <cacheField name="Date_FIN" numFmtId="22">
      <sharedItems containsSemiMixedTypes="0" containsNonDate="0" containsDate="1" containsString="0" minDate="2026-03-11T13:46:53" maxDate="2026-03-23T10:50:36"/>
    </cacheField>
    <cacheField name="Agent" numFmtId="0">
      <sharedItems/>
    </cacheField>
    <cacheField name="DMT" numFmtId="165">
      <sharedItems containsSemiMixedTypes="0" containsNonDate="0" containsDate="1" containsString="0" minDate="1899-12-30T00:22:53" maxDate="1899-12-30T02:23: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s v="13.41.48 IPID.pdf"/>
    <x v="0"/>
    <x v="0"/>
    <x v="0"/>
    <d v="2026-03-11T13:18:44"/>
    <d v="2026-03-11T13:46:53"/>
    <s v="HAMDANMO"/>
    <d v="1899-12-30T00:28:09"/>
  </r>
  <r>
    <s v="13.41.48.pdf"/>
    <x v="0"/>
    <x v="0"/>
    <x v="0"/>
    <d v="2026-03-12T09:52:06"/>
    <d v="2026-03-12T12:15:13"/>
    <s v="HAMDANMO"/>
    <d v="1899-12-30T02:23:07"/>
  </r>
  <r>
    <s v="16.61.12.pdf"/>
    <x v="0"/>
    <x v="0"/>
    <x v="0"/>
    <d v="2026-03-12T12:16:39"/>
    <d v="2026-03-12T12:39:32"/>
    <s v="HAMDANMO"/>
    <d v="1899-12-30T00:22:53"/>
  </r>
  <r>
    <s v="DIT10278.pdf"/>
    <x v="0"/>
    <x v="0"/>
    <x v="0"/>
    <d v="2026-03-16T08:57:35"/>
    <d v="2026-03-16T10:06:44"/>
    <s v="HAMDANMO"/>
    <d v="1899-12-30T01:09:09"/>
  </r>
  <r>
    <s v="CG CAT Ordinaires avec ou sans préavis.pdf"/>
    <x v="1"/>
    <x v="1"/>
    <x v="0"/>
    <d v="2026-03-23T09:43:55"/>
    <d v="2026-03-23T10:50:36"/>
    <s v="HAMDANMO"/>
    <d v="1899-12-30T01:06: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391923-77DB-44FC-ABB2-E1ABCF99ECFB}" name="Tableau croisé dynamique1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6">
  <location ref="A3:B8" firstHeaderRow="1" firstDataRow="1" firstDataCol="1"/>
  <pivotFields count="8">
    <pivotField showAll="0"/>
    <pivotField axis="axisRow" showAll="0">
      <items count="3">
        <item x="1"/>
        <item x="0"/>
        <item t="default"/>
      </items>
    </pivotField>
    <pivotField axis="axisRow" dataField="1" showAll="0">
      <items count="3">
        <item x="1"/>
        <item x="0"/>
        <item t="default"/>
      </items>
    </pivotField>
    <pivotField showAll="0"/>
    <pivotField numFmtId="22" showAll="0"/>
    <pivotField numFmtId="22" showAll="0"/>
    <pivotField showAll="0"/>
    <pivotField numFmtId="165" showAll="0"/>
  </pivotFields>
  <rowFields count="2">
    <field x="1"/>
    <field x="2"/>
  </rowFields>
  <rowItems count="5">
    <i>
      <x/>
    </i>
    <i r="1">
      <x/>
    </i>
    <i>
      <x v="1"/>
    </i>
    <i r="1">
      <x v="1"/>
    </i>
    <i t="grand">
      <x/>
    </i>
  </rowItems>
  <colItems count="1">
    <i/>
  </colItems>
  <dataFields count="1">
    <dataField name="Nombre de SousDomaine" fld="2" subtotal="count" baseField="0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BB0CAB-72BB-4920-86CE-8646D5DF3502}" name="Tableau croisé dynamique2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6">
  <location ref="G3:H5" firstHeaderRow="1" firstDataRow="1" firstDataCol="1"/>
  <pivotFields count="8"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axis="axisRow" dataField="1" showAll="0">
      <items count="2">
        <item x="0"/>
        <item t="default"/>
      </items>
    </pivotField>
    <pivotField numFmtId="22" showAll="0"/>
    <pivotField numFmtId="22" showAll="0"/>
    <pivotField showAll="0"/>
    <pivotField numFmtId="165" showAll="0"/>
  </pivotFields>
  <rowFields count="1">
    <field x="3"/>
  </rowFields>
  <rowItems count="2">
    <i>
      <x/>
    </i>
    <i t="grand">
      <x/>
    </i>
  </rowItems>
  <colItems count="1">
    <i/>
  </colItems>
  <dataFields count="1">
    <dataField name="Nombre de Statut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icones8.fr/icon/85147/user-male-circl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F6A96-782A-4B33-8295-6BD4B51E7DCF}">
  <sheetPr codeName="Feuil2"/>
  <dimension ref="G5:S38"/>
  <sheetViews>
    <sheetView showGridLines="0" tabSelected="1" zoomScaleNormal="100" workbookViewId="0">
      <selection activeCell="P1" sqref="P1"/>
    </sheetView>
  </sheetViews>
  <sheetFormatPr baseColWidth="10" defaultRowHeight="15" x14ac:dyDescent="0.25"/>
  <cols>
    <col min="1" max="16384" width="11.42578125" style="10"/>
  </cols>
  <sheetData>
    <row r="5" spans="7:18" x14ac:dyDescent="0.25">
      <c r="N5"/>
      <c r="P5"/>
    </row>
    <row r="6" spans="7:18" x14ac:dyDescent="0.25">
      <c r="P6" s="11" t="s">
        <v>33</v>
      </c>
    </row>
    <row r="14" spans="7:18" x14ac:dyDescent="0.25">
      <c r="G14"/>
      <c r="R14"/>
    </row>
    <row r="38" spans="19:19" x14ac:dyDescent="0.25">
      <c r="S38" s="10" t="s">
        <v>40</v>
      </c>
    </row>
  </sheetData>
  <hyperlinks>
    <hyperlink ref="P6" r:id="rId1" display="https://icones8.fr/icon/85147/user-male-circle" xr:uid="{042F50FD-F2D6-4678-BC47-560F284E420E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2"/>
  <sheetViews>
    <sheetView zoomScaleNormal="100" workbookViewId="0">
      <selection activeCell="C14" sqref="C14"/>
    </sheetView>
  </sheetViews>
  <sheetFormatPr baseColWidth="10" defaultColWidth="9.140625" defaultRowHeight="15" x14ac:dyDescent="0.25"/>
  <cols>
    <col min="1" max="1" width="18.42578125" bestFit="1" customWidth="1"/>
    <col min="2" max="2" width="12.85546875" bestFit="1" customWidth="1"/>
    <col min="3" max="3" width="39.5703125" bestFit="1" customWidth="1"/>
    <col min="4" max="4" width="17.42578125" bestFit="1" customWidth="1"/>
    <col min="5" max="5" width="12.42578125" bestFit="1" customWidth="1"/>
    <col min="6" max="6" width="20.7109375" bestFit="1" customWidth="1"/>
    <col min="7" max="7" width="23.42578125" bestFit="1" customWidth="1"/>
    <col min="8" max="8" width="9.7109375" bestFit="1" customWidth="1"/>
  </cols>
  <sheetData>
    <row r="1" spans="1:8" s="1" customFormat="1" x14ac:dyDescent="0.25">
      <c r="A1" s="1" t="s">
        <v>0</v>
      </c>
      <c r="B1" s="1" t="s">
        <v>1</v>
      </c>
      <c r="C1" s="1" t="s">
        <v>2</v>
      </c>
      <c r="D1" s="1" t="s">
        <v>6</v>
      </c>
      <c r="E1" s="1" t="s">
        <v>3</v>
      </c>
      <c r="F1" s="1" t="s">
        <v>4</v>
      </c>
      <c r="G1" s="1" t="s">
        <v>7</v>
      </c>
      <c r="H1" s="1" t="s">
        <v>21</v>
      </c>
    </row>
    <row r="2" spans="1:8" x14ac:dyDescent="0.25">
      <c r="A2" s="3">
        <v>46092.554675925923</v>
      </c>
      <c r="B2" t="s">
        <v>14</v>
      </c>
      <c r="C2" t="s">
        <v>24</v>
      </c>
      <c r="D2" t="s">
        <v>18</v>
      </c>
      <c r="E2" t="s">
        <v>13</v>
      </c>
      <c r="F2" t="s">
        <v>15</v>
      </c>
      <c r="G2" t="s">
        <v>19</v>
      </c>
    </row>
    <row r="3" spans="1:8" x14ac:dyDescent="0.25">
      <c r="A3" s="3">
        <v>46092.574224537035</v>
      </c>
      <c r="B3" t="s">
        <v>14</v>
      </c>
      <c r="C3" t="s">
        <v>24</v>
      </c>
      <c r="D3" t="s">
        <v>18</v>
      </c>
      <c r="E3" t="s">
        <v>13</v>
      </c>
      <c r="F3" t="s">
        <v>17</v>
      </c>
      <c r="G3" t="s">
        <v>19</v>
      </c>
    </row>
    <row r="4" spans="1:8" x14ac:dyDescent="0.25">
      <c r="A4" s="3">
        <v>46093.411180555559</v>
      </c>
      <c r="B4" t="s">
        <v>14</v>
      </c>
      <c r="C4" t="s">
        <v>25</v>
      </c>
      <c r="D4" t="s">
        <v>18</v>
      </c>
      <c r="E4" t="s">
        <v>13</v>
      </c>
      <c r="F4" t="s">
        <v>15</v>
      </c>
      <c r="G4" t="s">
        <v>19</v>
      </c>
    </row>
    <row r="5" spans="1:8" x14ac:dyDescent="0.25">
      <c r="A5" s="3">
        <v>46093.510567129626</v>
      </c>
      <c r="B5" t="s">
        <v>14</v>
      </c>
      <c r="C5" t="s">
        <v>25</v>
      </c>
      <c r="D5" t="s">
        <v>18</v>
      </c>
      <c r="E5" t="s">
        <v>13</v>
      </c>
      <c r="F5" t="s">
        <v>17</v>
      </c>
      <c r="G5" t="s">
        <v>19</v>
      </c>
    </row>
    <row r="6" spans="1:8" x14ac:dyDescent="0.25">
      <c r="A6" s="3">
        <v>46093.511562500003</v>
      </c>
      <c r="B6" t="s">
        <v>14</v>
      </c>
      <c r="C6" t="s">
        <v>26</v>
      </c>
      <c r="D6" t="s">
        <v>18</v>
      </c>
      <c r="E6" t="s">
        <v>13</v>
      </c>
      <c r="F6" t="s">
        <v>15</v>
      </c>
      <c r="G6" t="s">
        <v>19</v>
      </c>
    </row>
    <row r="7" spans="1:8" x14ac:dyDescent="0.25">
      <c r="A7" s="3">
        <v>46093.527453703704</v>
      </c>
      <c r="B7" t="s">
        <v>14</v>
      </c>
      <c r="C7" t="s">
        <v>26</v>
      </c>
      <c r="D7" t="s">
        <v>18</v>
      </c>
      <c r="E7" t="s">
        <v>13</v>
      </c>
      <c r="F7" t="s">
        <v>17</v>
      </c>
      <c r="G7" t="s">
        <v>19</v>
      </c>
    </row>
    <row r="8" spans="1:8" x14ac:dyDescent="0.25">
      <c r="A8" s="3">
        <v>46097.37332175926</v>
      </c>
      <c r="B8" t="s">
        <v>14</v>
      </c>
      <c r="C8" t="s">
        <v>29</v>
      </c>
      <c r="D8" t="s">
        <v>18</v>
      </c>
      <c r="E8" t="s">
        <v>13</v>
      </c>
      <c r="F8" t="s">
        <v>15</v>
      </c>
      <c r="G8" t="s">
        <v>19</v>
      </c>
    </row>
    <row r="9" spans="1:8" x14ac:dyDescent="0.25">
      <c r="A9" s="3">
        <v>46097.421342592592</v>
      </c>
      <c r="B9" t="s">
        <v>14</v>
      </c>
      <c r="C9" t="s">
        <v>29</v>
      </c>
      <c r="D9" t="s">
        <v>18</v>
      </c>
      <c r="E9" t="s">
        <v>13</v>
      </c>
      <c r="F9" t="s">
        <v>17</v>
      </c>
      <c r="G9" t="s">
        <v>19</v>
      </c>
    </row>
    <row r="10" spans="1:8" x14ac:dyDescent="0.25">
      <c r="A10" s="3">
        <v>46104.405497685184</v>
      </c>
      <c r="B10" t="s">
        <v>14</v>
      </c>
      <c r="C10" t="s">
        <v>30</v>
      </c>
      <c r="D10" t="s">
        <v>31</v>
      </c>
      <c r="E10" t="s">
        <v>13</v>
      </c>
      <c r="F10" t="s">
        <v>15</v>
      </c>
      <c r="G10" t="s">
        <v>32</v>
      </c>
    </row>
    <row r="11" spans="1:8" x14ac:dyDescent="0.25">
      <c r="A11" s="3">
        <v>46104.451805555553</v>
      </c>
      <c r="B11" t="s">
        <v>14</v>
      </c>
      <c r="C11" t="s">
        <v>30</v>
      </c>
      <c r="D11" t="s">
        <v>31</v>
      </c>
      <c r="E11" t="s">
        <v>13</v>
      </c>
      <c r="F11" t="s">
        <v>17</v>
      </c>
      <c r="G11" t="s">
        <v>32</v>
      </c>
    </row>
    <row r="12" spans="1:8" x14ac:dyDescent="0.25">
      <c r="A12" s="3">
        <v>46104.452361111114</v>
      </c>
      <c r="B12" t="s">
        <v>14</v>
      </c>
      <c r="C12" t="s">
        <v>27</v>
      </c>
      <c r="D12" t="s">
        <v>22</v>
      </c>
      <c r="E12" t="s">
        <v>13</v>
      </c>
      <c r="F12" t="s">
        <v>17</v>
      </c>
      <c r="G12" t="s">
        <v>23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8F85D-D76B-4888-BBDA-E505493C3E4E}">
  <sheetPr codeName="Feuil1"/>
  <dimension ref="A1:E1"/>
  <sheetViews>
    <sheetView workbookViewId="0">
      <selection activeCell="C38" sqref="C38"/>
    </sheetView>
  </sheetViews>
  <sheetFormatPr baseColWidth="10" defaultRowHeight="15" x14ac:dyDescent="0.25"/>
  <cols>
    <col min="1" max="1" width="18.42578125" bestFit="1" customWidth="1"/>
    <col min="2" max="2" width="12.85546875" bestFit="1" customWidth="1"/>
    <col min="3" max="3" width="34.28515625" bestFit="1" customWidth="1"/>
    <col min="4" max="4" width="12.42578125" bestFit="1" customWidth="1"/>
    <col min="5" max="5" width="39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35B7E-9772-4B79-B1BB-1487D54130D4}">
  <sheetPr codeName="Feuil4"/>
  <dimension ref="A3:K8"/>
  <sheetViews>
    <sheetView workbookViewId="0">
      <selection activeCell="K4" sqref="K4"/>
    </sheetView>
  </sheetViews>
  <sheetFormatPr baseColWidth="10" defaultRowHeight="15" x14ac:dyDescent="0.25"/>
  <cols>
    <col min="1" max="1" width="26.7109375" bestFit="1" customWidth="1"/>
    <col min="2" max="2" width="23.85546875" bestFit="1" customWidth="1"/>
    <col min="7" max="7" width="21" bestFit="1" customWidth="1"/>
    <col min="8" max="8" width="16.85546875" bestFit="1" customWidth="1"/>
  </cols>
  <sheetData>
    <row r="3" spans="1:11" x14ac:dyDescent="0.25">
      <c r="A3" s="12" t="s">
        <v>34</v>
      </c>
      <c r="B3" t="s">
        <v>36</v>
      </c>
      <c r="D3" t="s">
        <v>37</v>
      </c>
      <c r="E3">
        <f>GETPIVOTDATA("SousDomaine",$A$3)</f>
        <v>5</v>
      </c>
      <c r="G3" s="12" t="s">
        <v>34</v>
      </c>
      <c r="H3" t="s">
        <v>38</v>
      </c>
      <c r="J3" t="s">
        <v>39</v>
      </c>
      <c r="K3">
        <f>GETPIVOTDATA("Statut",$G$3)</f>
        <v>5</v>
      </c>
    </row>
    <row r="4" spans="1:11" x14ac:dyDescent="0.25">
      <c r="A4" s="13" t="s">
        <v>31</v>
      </c>
      <c r="B4" s="15">
        <v>1</v>
      </c>
      <c r="G4" s="13" t="s">
        <v>20</v>
      </c>
      <c r="H4" s="15">
        <v>5</v>
      </c>
    </row>
    <row r="5" spans="1:11" x14ac:dyDescent="0.25">
      <c r="A5" s="14" t="s">
        <v>32</v>
      </c>
      <c r="B5" s="15">
        <v>1</v>
      </c>
      <c r="G5" s="13" t="s">
        <v>35</v>
      </c>
      <c r="H5" s="15">
        <v>5</v>
      </c>
    </row>
    <row r="6" spans="1:11" x14ac:dyDescent="0.25">
      <c r="A6" s="13" t="s">
        <v>18</v>
      </c>
      <c r="B6" s="15">
        <v>4</v>
      </c>
    </row>
    <row r="7" spans="1:11" x14ac:dyDescent="0.25">
      <c r="A7" s="14" t="s">
        <v>19</v>
      </c>
      <c r="B7" s="15">
        <v>4</v>
      </c>
    </row>
    <row r="8" spans="1:11" x14ac:dyDescent="0.25">
      <c r="A8" s="13" t="s">
        <v>35</v>
      </c>
      <c r="B8" s="15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6"/>
  <sheetViews>
    <sheetView workbookViewId="0">
      <selection activeCell="E19" sqref="E19"/>
    </sheetView>
  </sheetViews>
  <sheetFormatPr baseColWidth="10" defaultColWidth="9.140625" defaultRowHeight="15" x14ac:dyDescent="0.25"/>
  <cols>
    <col min="1" max="1" width="40.85546875" style="7" bestFit="1" customWidth="1"/>
    <col min="2" max="2" width="17.42578125" style="7" bestFit="1" customWidth="1"/>
    <col min="3" max="3" width="23.42578125" style="7" bestFit="1" customWidth="1"/>
    <col min="4" max="4" width="16.140625" style="7" bestFit="1" customWidth="1"/>
    <col min="5" max="6" width="15.7109375" style="7" bestFit="1" customWidth="1"/>
    <col min="7" max="7" width="12.42578125" style="7" bestFit="1" customWidth="1"/>
    <col min="8" max="8" width="8.140625" style="8" bestFit="1" customWidth="1"/>
    <col min="9" max="9" width="13.140625" style="7" bestFit="1" customWidth="1"/>
    <col min="10" max="10" width="1.5703125" bestFit="1" customWidth="1"/>
  </cols>
  <sheetData>
    <row r="1" spans="1:16" s="2" customFormat="1" x14ac:dyDescent="0.25">
      <c r="A1" s="4" t="s">
        <v>5</v>
      </c>
      <c r="B1" s="4" t="s">
        <v>6</v>
      </c>
      <c r="C1" s="4" t="s">
        <v>7</v>
      </c>
      <c r="D1" s="4" t="s">
        <v>8</v>
      </c>
      <c r="E1" s="5" t="s">
        <v>9</v>
      </c>
      <c r="F1" s="5" t="s">
        <v>10</v>
      </c>
      <c r="G1" s="4" t="s">
        <v>11</v>
      </c>
      <c r="H1" s="6" t="s">
        <v>12</v>
      </c>
      <c r="I1" s="4" t="s">
        <v>28</v>
      </c>
      <c r="J1" s="2" t="s">
        <v>16</v>
      </c>
    </row>
    <row r="2" spans="1:16" x14ac:dyDescent="0.25">
      <c r="A2" s="7" t="s">
        <v>24</v>
      </c>
      <c r="B2" s="7" t="s">
        <v>18</v>
      </c>
      <c r="C2" s="7" t="s">
        <v>19</v>
      </c>
      <c r="D2" s="7" t="s">
        <v>20</v>
      </c>
      <c r="E2" s="9">
        <v>46092.554675925923</v>
      </c>
      <c r="F2" s="9">
        <v>46092.574224537035</v>
      </c>
      <c r="G2" s="7" t="s">
        <v>13</v>
      </c>
      <c r="H2" s="8">
        <v>1.95486111115315E-2</v>
      </c>
      <c r="J2" s="7"/>
      <c r="K2" s="7"/>
      <c r="L2" s="7"/>
      <c r="M2" s="7"/>
      <c r="N2" s="7"/>
      <c r="O2" s="7"/>
      <c r="P2" s="8"/>
    </row>
    <row r="3" spans="1:16" x14ac:dyDescent="0.25">
      <c r="A3" s="7" t="s">
        <v>25</v>
      </c>
      <c r="B3" s="7" t="s">
        <v>18</v>
      </c>
      <c r="C3" s="7" t="s">
        <v>19</v>
      </c>
      <c r="D3" s="7" t="s">
        <v>20</v>
      </c>
      <c r="E3" s="9">
        <v>46093.411180555559</v>
      </c>
      <c r="F3" s="9">
        <v>46093.510567129626</v>
      </c>
      <c r="G3" s="7" t="s">
        <v>13</v>
      </c>
      <c r="H3" s="8">
        <v>9.9386574067466427E-2</v>
      </c>
      <c r="J3" s="7"/>
      <c r="K3" s="7"/>
      <c r="L3" s="7"/>
      <c r="M3" s="7"/>
      <c r="N3" s="7"/>
      <c r="O3" s="7"/>
      <c r="P3" s="8"/>
    </row>
    <row r="4" spans="1:16" x14ac:dyDescent="0.25">
      <c r="A4" s="7" t="s">
        <v>26</v>
      </c>
      <c r="B4" s="7" t="s">
        <v>18</v>
      </c>
      <c r="C4" s="7" t="s">
        <v>19</v>
      </c>
      <c r="D4" s="7" t="s">
        <v>20</v>
      </c>
      <c r="E4" s="9">
        <v>46093.511562500003</v>
      </c>
      <c r="F4" s="9">
        <v>46093.527453703704</v>
      </c>
      <c r="G4" s="7" t="s">
        <v>13</v>
      </c>
      <c r="H4" s="8">
        <v>1.5891203700448386E-2</v>
      </c>
    </row>
    <row r="5" spans="1:16" x14ac:dyDescent="0.25">
      <c r="A5" s="7" t="s">
        <v>29</v>
      </c>
      <c r="B5" s="7" t="s">
        <v>18</v>
      </c>
      <c r="C5" s="7" t="s">
        <v>19</v>
      </c>
      <c r="D5" s="7" t="s">
        <v>20</v>
      </c>
      <c r="E5" s="9">
        <v>46097.37332175926</v>
      </c>
      <c r="F5" s="9">
        <v>46097.421342592592</v>
      </c>
      <c r="G5" s="7" t="s">
        <v>13</v>
      </c>
      <c r="H5" s="8">
        <v>4.8020833331975155E-2</v>
      </c>
    </row>
    <row r="6" spans="1:16" x14ac:dyDescent="0.25">
      <c r="A6" s="7" t="s">
        <v>30</v>
      </c>
      <c r="B6" s="7" t="s">
        <v>31</v>
      </c>
      <c r="C6" s="7" t="s">
        <v>32</v>
      </c>
      <c r="D6" s="7" t="s">
        <v>20</v>
      </c>
      <c r="E6" s="9">
        <v>46104.405497685184</v>
      </c>
      <c r="F6" s="9">
        <v>46104.451805555553</v>
      </c>
      <c r="G6" s="7" t="s">
        <v>13</v>
      </c>
      <c r="H6" s="8">
        <v>4.630787036876427E-2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BUREAU</vt:lpstr>
      <vt:lpstr>LOG_ACTIONS</vt:lpstr>
      <vt:lpstr>NC_LOG_ACTIONS</vt:lpstr>
      <vt:lpstr>Feuil2</vt:lpstr>
      <vt:lpstr>SHEET_TRACE_NAME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Dark Mode</dc:creator>
  <cp:lastModifiedBy>HAMDANI Mohamed [EIDS]</cp:lastModifiedBy>
  <dcterms:created xsi:type="dcterms:W3CDTF">2026-01-22T20:51:30Z</dcterms:created>
  <dcterms:modified xsi:type="dcterms:W3CDTF">2026-03-30T15:00:26Z</dcterms:modified>
</cp:coreProperties>
</file>