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Uf11pu01\EIDS_FLOA_OCTROI\BD DATA OCTROI Rabat26\"/>
    </mc:Choice>
  </mc:AlternateContent>
  <xr:revisionPtr revIDLastSave="0" documentId="13_ncr:1_{2417DE01-071B-4B6B-8518-C18964DD68AA}" xr6:coauthVersionLast="47" xr6:coauthVersionMax="47" xr10:uidLastSave="{00000000-0000-0000-0000-000000000000}"/>
  <bookViews>
    <workbookView showSheetTabs="0" xWindow="28680" yWindow="-120" windowWidth="29040" windowHeight="15720" firstSheet="1" activeTab="1" xr2:uid="{00000000-000D-0000-FFFF-FFFF00000000}"/>
  </bookViews>
  <sheets>
    <sheet name="Feuil1" sheetId="1" state="veryHidden" r:id="rId1"/>
    <sheet name="Feuil4" sheetId="5" r:id="rId2"/>
    <sheet name="Feuil5" sheetId="9" state="hidden" r:id="rId3"/>
    <sheet name="Feuil6" sheetId="8" state="veryHidden" r:id="rId4"/>
    <sheet name="Feuil3" sheetId="6" state="hidden" r:id="rId5"/>
    <sheet name="Feuil2" sheetId="2" state="veryHidden" r:id="rId6"/>
  </sheets>
  <functionGroups builtInGroupCount="19"/>
  <definedNames>
    <definedName name="_xlnm._FilterDatabase" localSheetId="0" hidden="1">Feuil1!$D$1:$N$4653</definedName>
    <definedName name="_xlnm._FilterDatabase" localSheetId="5" hidden="1">Feuil2!$D$1:$N$4649</definedName>
    <definedName name="basedonnees">Feuil2!$D$1:$M$780</definedName>
    <definedName name="_xlnm.Criteria" localSheetId="0">Feuil1!$Z$1:$Z$1</definedName>
    <definedName name="_xlnm.Criteria" localSheetId="5">Feuil2!$Q$1:$R$2</definedName>
    <definedName name="_xlnm.Criteria" localSheetId="4">Feuil3!$Q$1:$R$2</definedName>
    <definedName name="dataa">Feuil1!$D$1:$M$1</definedName>
    <definedName name="database">Feuil1!$D$2:$M$1048576</definedName>
    <definedName name="datajour">Feuil2!$D$1:$M$258</definedName>
    <definedName name="_xlnm.Extract" localSheetId="0">Feuil1!$D$1:$N$1</definedName>
    <definedName name="_xlnm.Extract" localSheetId="5">Feuil2!$D$1:$N$1</definedName>
    <definedName name="_xlnm.Extract" localSheetId="4">Feuil3!$D$1:$N$1</definedName>
    <definedName name="_xlnm.Extract" localSheetId="2">Feuil5!$D$1:$N$1</definedName>
    <definedName name="non">Feuil1!$D$1:$M$417</definedName>
    <definedName name="okk">Feuil1!$D$1:$M$1</definedName>
    <definedName name="oui">Feuil1!$D$1:$M$1</definedName>
    <definedName name="yesyes">Feuil1!$D$1:$M$1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1" i="1" l="1" a="1"/>
  <c r="O1" i="1" s="1"/>
  <c r="P1" i="1" s="1"/>
  <c r="W1" i="2" l="1" a="1"/>
  <c r="W1" i="2" s="1"/>
  <c r="X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<sst xmlns="http://schemas.openxmlformats.org/spreadsheetml/2006/main" count="259" uniqueCount="42">
  <si>
    <t>Collaborateur</t>
  </si>
  <si>
    <t xml:space="preserve">Date </t>
  </si>
  <si>
    <t>Activité</t>
  </si>
  <si>
    <t>Produit</t>
  </si>
  <si>
    <t>Date et heure de saisie</t>
  </si>
  <si>
    <t>commentaire</t>
  </si>
  <si>
    <t>Dossier</t>
  </si>
  <si>
    <t>Décision</t>
  </si>
  <si>
    <t>Validé</t>
  </si>
  <si>
    <t>Flag</t>
  </si>
  <si>
    <t>index</t>
  </si>
  <si>
    <t>Site</t>
  </si>
  <si>
    <t>DRIDI Jihen [EIDS]</t>
  </si>
  <si>
    <t>Tunis</t>
  </si>
  <si>
    <t>Incomplet</t>
  </si>
  <si>
    <t>Live Console</t>
  </si>
  <si>
    <t>ACC VALIDE</t>
  </si>
  <si>
    <t>26/11/2024</t>
  </si>
  <si>
    <t>CCL SFR</t>
  </si>
  <si>
    <t>Live Carte</t>
  </si>
  <si>
    <t>26-11-2024-15:17:02</t>
  </si>
  <si>
    <t>26-11-2024-15:17:25</t>
  </si>
  <si>
    <t>26-11-2024-15:17:58</t>
  </si>
  <si>
    <t>27/11/2024</t>
  </si>
  <si>
    <t>27-11-2024-07:47:39</t>
  </si>
  <si>
    <t>27-11-2024-07:47:46</t>
  </si>
  <si>
    <t>27-11-2024-07:47:49</t>
  </si>
  <si>
    <t>27-11-2024-07:47:53</t>
  </si>
  <si>
    <t>27-11-2024-07:48:03</t>
  </si>
  <si>
    <t>27-11-2024-07:48:56</t>
  </si>
  <si>
    <t>27-11-2024-09:43:30</t>
  </si>
  <si>
    <t>27-11-2024-09:47:24</t>
  </si>
  <si>
    <t>27-11-2024-09:53:07</t>
  </si>
  <si>
    <t>CHAACHOUI Youssef [EIDS]</t>
  </si>
  <si>
    <t>09/04/2026</t>
  </si>
  <si>
    <t>Octroi Classique</t>
  </si>
  <si>
    <t/>
  </si>
  <si>
    <t>REFUSE</t>
  </si>
  <si>
    <t>Rabat</t>
  </si>
  <si>
    <t>AVENANT</t>
  </si>
  <si>
    <t>123456123</t>
  </si>
  <si>
    <t>09-04-2026-14:03:28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</si>
</sst>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141414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14" fontId="0" fillId="0" borderId="0" xfId="0" applyNumberFormat="1"/>
    <xf numFmtId="49" fontId="0" fillId="0" borderId="0" xfId="0" applyNumberFormat="1"/>
    <xf numFmtId="0" fontId="0" fillId="0" borderId="0" xfId="0" quotePrefix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54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257176</xdr:colOff>
      <xdr:row>0</xdr:row>
      <xdr:rowOff>0</xdr:rowOff>
    </xdr:from>
    <xdr:to>
      <xdr:col>23</xdr:col>
      <xdr:colOff>438150</xdr:colOff>
      <xdr:row>66</xdr:row>
      <xdr:rowOff>48058</xdr:rowOff>
    </xdr:to>
    <xdr:sp macro="" textlink="">
      <xdr:nvSpPr>
        <xdr:cNvPr id="21" name="Freeform 14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877176" y="0"/>
          <a:ext cx="10086974" cy="12621058"/>
        </a:xfrm>
        <a:custGeom>
          <a:avLst/>
          <a:gdLst/>
          <a:ahLst/>
          <a:cxnLst/>
          <a:rect l="l" t="t" r="r" b="b"/>
          <a:pathLst>
            <a:path w="1288728" h="3324065">
              <a:moveTo>
                <a:pt x="0" y="0"/>
              </a:moveTo>
              <a:lnTo>
                <a:pt x="1288728" y="0"/>
              </a:lnTo>
              <a:lnTo>
                <a:pt x="1288728" y="3324065"/>
              </a:lnTo>
              <a:lnTo>
                <a:pt x="0" y="3324065"/>
              </a:lnTo>
              <a:close/>
            </a:path>
          </a:pathLst>
        </a:custGeom>
        <a:solidFill>
          <a:srgbClr val="F3ECEF"/>
        </a:solidFill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4</xdr:col>
      <xdr:colOff>542925</xdr:colOff>
      <xdr:row>8</xdr:row>
      <xdr:rowOff>180975</xdr:rowOff>
    </xdr:from>
    <xdr:to>
      <xdr:col>14</xdr:col>
      <xdr:colOff>720029</xdr:colOff>
      <xdr:row>65</xdr:row>
      <xdr:rowOff>17527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590925" y="1704975"/>
          <a:ext cx="7797104" cy="10695052"/>
        </a:xfrm>
        <a:prstGeom prst="rect">
          <a:avLst/>
        </a:prstGeom>
        <a:ln>
          <a:noFill/>
        </a:ln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2659"/>
            </a:lnSpc>
            <a:spcBef>
              <a:spcPct val="0"/>
            </a:spcBef>
          </a:pPr>
          <a:endParaRPr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177104</xdr:colOff>
      <xdr:row>55</xdr:row>
      <xdr:rowOff>4916</xdr:rowOff>
    </xdr:to>
    <xdr:sp macro="" textlink="">
      <xdr:nvSpPr>
        <xdr:cNvPr id="7" name="Freeform 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0" y="0"/>
          <a:ext cx="7797104" cy="10482416"/>
        </a:xfrm>
        <a:custGeom>
          <a:avLst/>
          <a:gdLst/>
          <a:ahLst/>
          <a:cxnLst/>
          <a:rect l="l" t="t" r="r" b="b"/>
          <a:pathLst>
            <a:path w="2053558" h="2817353">
              <a:moveTo>
                <a:pt x="0" y="0"/>
              </a:moveTo>
              <a:lnTo>
                <a:pt x="2053558" y="0"/>
              </a:lnTo>
              <a:lnTo>
                <a:pt x="2053558" y="2817353"/>
              </a:lnTo>
              <a:lnTo>
                <a:pt x="0" y="2817353"/>
              </a:lnTo>
              <a:close/>
            </a:path>
          </a:pathLst>
        </a:custGeom>
        <a:solidFill>
          <a:srgbClr val="009FFF"/>
        </a:solidFill>
        <a:ln>
          <a:noFill/>
        </a:ln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9</xdr:col>
      <xdr:colOff>421399</xdr:colOff>
      <xdr:row>12</xdr:row>
      <xdr:rowOff>57151</xdr:rowOff>
    </xdr:from>
    <xdr:to>
      <xdr:col>11</xdr:col>
      <xdr:colOff>281687</xdr:colOff>
      <xdr:row>22</xdr:row>
      <xdr:rowOff>124595</xdr:rowOff>
    </xdr:to>
    <xdr:sp macro="" textlink="">
      <xdr:nvSpPr>
        <xdr:cNvPr id="12" name="Freeform 6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5400000">
          <a:off x="6985321" y="2637229"/>
          <a:ext cx="1972444" cy="1384288"/>
        </a:xfrm>
        <a:custGeom>
          <a:avLst/>
          <a:gdLst/>
          <a:ahLst/>
          <a:cxnLst/>
          <a:rect l="l" t="t" r="r" b="b"/>
          <a:pathLst>
            <a:path w="1013374" h="711200">
              <a:moveTo>
                <a:pt x="506687" y="0"/>
              </a:moveTo>
              <a:lnTo>
                <a:pt x="1013374" y="711200"/>
              </a:lnTo>
              <a:lnTo>
                <a:pt x="0" y="711200"/>
              </a:lnTo>
              <a:lnTo>
                <a:pt x="506687" y="0"/>
              </a:lnTo>
              <a:close/>
            </a:path>
          </a:pathLst>
        </a:custGeom>
        <a:solidFill>
          <a:srgbClr val="F95455"/>
        </a:solidFill>
        <a:ln w="76200">
          <a:solidFill>
            <a:schemeClr val="bg1"/>
          </a:solidFill>
        </a:ln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1</xdr:col>
      <xdr:colOff>408751</xdr:colOff>
      <xdr:row>13</xdr:row>
      <xdr:rowOff>23911</xdr:rowOff>
    </xdr:from>
    <xdr:to>
      <xdr:col>9</xdr:col>
      <xdr:colOff>34538</xdr:colOff>
      <xdr:row>19</xdr:row>
      <xdr:rowOff>60245</xdr:rowOff>
    </xdr:to>
    <xdr:sp macro="" textlink="">
      <xdr:nvSpPr>
        <xdr:cNvPr id="9" name="TextBox 1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0751" y="2500411"/>
          <a:ext cx="5721787" cy="1179334"/>
        </a:xfrm>
        <a:prstGeom prst="rect">
          <a:avLst/>
        </a:prstGeom>
      </xdr:spPr>
      <xdr:txBody>
        <a:bodyPr wrap="square" lIns="0" tIns="0" rIns="0" bIns="0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8516"/>
            </a:lnSpc>
          </a:pPr>
          <a:r>
            <a:rPr lang="en-US" sz="7742" b="1">
              <a:solidFill>
                <a:srgbClr val="FFFFFF"/>
              </a:solidFill>
              <a:latin typeface="Poppins Bold"/>
              <a:ea typeface="Poppins Bold"/>
              <a:cs typeface="Poppins Bold"/>
              <a:sym typeface="Poppins Bold"/>
            </a:rPr>
            <a:t>Formulaire</a:t>
          </a:r>
        </a:p>
      </xdr:txBody>
    </xdr:sp>
    <xdr:clientData/>
  </xdr:twoCellAnchor>
  <xdr:twoCellAnchor>
    <xdr:from>
      <xdr:col>1</xdr:col>
      <xdr:colOff>114300</xdr:colOff>
      <xdr:row>23</xdr:row>
      <xdr:rowOff>48173</xdr:rowOff>
    </xdr:from>
    <xdr:to>
      <xdr:col>9</xdr:col>
      <xdr:colOff>513241</xdr:colOff>
      <xdr:row>27</xdr:row>
      <xdr:rowOff>29966</xdr:rowOff>
    </xdr:to>
    <xdr:sp macro="" textlink="">
      <xdr:nvSpPr>
        <xdr:cNvPr id="10" name="TextBox 1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876300" y="4429673"/>
          <a:ext cx="6494941" cy="743793"/>
        </a:xfrm>
        <a:prstGeom prst="rect">
          <a:avLst/>
        </a:prstGeom>
      </xdr:spPr>
      <xdr:txBody>
        <a:bodyPr wrap="square" lIns="0" tIns="0" rIns="0" bIns="0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940"/>
            </a:lnSpc>
          </a:pPr>
          <a:r>
            <a:rPr lang="en-US" sz="1800">
              <a:solidFill>
                <a:srgbClr val="FFFFFF"/>
              </a:solidFill>
              <a:latin typeface="Montserrat"/>
              <a:ea typeface="Montserrat"/>
              <a:cs typeface="Montserrat"/>
              <a:sym typeface="Montserrat"/>
            </a:rPr>
            <a:t>Qualifiez vos dossiers avec efficacité et rigueur. </a:t>
          </a:r>
        </a:p>
        <a:p>
          <a:pPr algn="l">
            <a:lnSpc>
              <a:spcPts val="2940"/>
            </a:lnSpc>
          </a:pPr>
          <a:r>
            <a:rPr lang="en-US" sz="1800">
              <a:solidFill>
                <a:srgbClr val="FFFFFF"/>
              </a:solidFill>
              <a:latin typeface="Montserrat"/>
              <a:ea typeface="Montserrat"/>
              <a:cs typeface="Montserrat"/>
              <a:sym typeface="Montserrat"/>
            </a:rPr>
            <a:t>Simplifions le processus pour des décisions justes et rapides</a:t>
          </a:r>
        </a:p>
      </xdr:txBody>
    </xdr:sp>
    <xdr:clientData/>
  </xdr:twoCellAnchor>
  <xdr:twoCellAnchor>
    <xdr:from>
      <xdr:col>1</xdr:col>
      <xdr:colOff>437326</xdr:colOff>
      <xdr:row>18</xdr:row>
      <xdr:rowOff>120784</xdr:rowOff>
    </xdr:from>
    <xdr:to>
      <xdr:col>8</xdr:col>
      <xdr:colOff>488666</xdr:colOff>
      <xdr:row>21</xdr:row>
      <xdr:rowOff>28074</xdr:rowOff>
    </xdr:to>
    <xdr:sp macro="" textlink="">
      <xdr:nvSpPr>
        <xdr:cNvPr id="11" name="TextBox 19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199326" y="3549784"/>
          <a:ext cx="5385340" cy="478790"/>
        </a:xfrm>
        <a:prstGeom prst="rect">
          <a:avLst/>
        </a:prstGeom>
      </xdr:spPr>
      <xdr:txBody>
        <a:bodyPr wrap="square" lIns="0" tIns="0" rIns="0" bIns="0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3520"/>
            </a:lnSpc>
          </a:pPr>
          <a:r>
            <a:rPr lang="en-US" sz="3200" spc="742">
              <a:solidFill>
                <a:srgbClr val="FFFFFF"/>
              </a:solidFill>
              <a:latin typeface="Poppins"/>
              <a:ea typeface="Poppins"/>
              <a:cs typeface="Poppins"/>
              <a:sym typeface="Poppins"/>
            </a:rPr>
            <a:t>Octroi</a:t>
          </a:r>
        </a:p>
      </xdr:txBody>
    </xdr:sp>
    <xdr:clientData/>
  </xdr:twoCellAnchor>
  <xdr:twoCellAnchor>
    <xdr:from>
      <xdr:col>0</xdr:col>
      <xdr:colOff>0</xdr:colOff>
      <xdr:row>30</xdr:row>
      <xdr:rowOff>114300</xdr:rowOff>
    </xdr:from>
    <xdr:to>
      <xdr:col>10</xdr:col>
      <xdr:colOff>186629</xdr:colOff>
      <xdr:row>44</xdr:row>
      <xdr:rowOff>122953</xdr:rowOff>
    </xdr:to>
    <xdr:sp macro="" textlink="">
      <xdr:nvSpPr>
        <xdr:cNvPr id="17" name="Freeform 10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5829300"/>
          <a:ext cx="7806629" cy="2675653"/>
        </a:xfrm>
        <a:custGeom>
          <a:avLst/>
          <a:gdLst/>
          <a:ahLst/>
          <a:cxnLst/>
          <a:rect l="l" t="t" r="r" b="b"/>
          <a:pathLst>
            <a:path w="2056067" h="704699">
              <a:moveTo>
                <a:pt x="0" y="0"/>
              </a:moveTo>
              <a:lnTo>
                <a:pt x="2056067" y="0"/>
              </a:lnTo>
              <a:lnTo>
                <a:pt x="2056067" y="704699"/>
              </a:lnTo>
              <a:lnTo>
                <a:pt x="0" y="704699"/>
              </a:lnTo>
              <a:close/>
            </a:path>
          </a:pathLst>
        </a:custGeom>
        <a:solidFill>
          <a:srgbClr val="F3ECEF"/>
        </a:solidFill>
      </xdr:spPr>
      <xdr:txBody>
        <a:bodyPr wrap="square"/>
        <a:lstStyle/>
        <a:p>
          <a:endParaRPr lang="fr-FR"/>
        </a:p>
      </xdr:txBody>
    </xdr:sp>
    <xdr:clientData/>
  </xdr:twoCellAnchor>
  <xdr:twoCellAnchor>
    <xdr:from>
      <xdr:col>2</xdr:col>
      <xdr:colOff>132602</xdr:colOff>
      <xdr:row>43</xdr:row>
      <xdr:rowOff>115252</xdr:rowOff>
    </xdr:from>
    <xdr:to>
      <xdr:col>4</xdr:col>
      <xdr:colOff>174801</xdr:colOff>
      <xdr:row>43</xdr:row>
      <xdr:rowOff>115252</xdr:rowOff>
    </xdr:to>
    <xdr:sp macro="" textlink="">
      <xdr:nvSpPr>
        <xdr:cNvPr id="18" name="AutoShape 1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56602" y="8306752"/>
          <a:ext cx="1566199" cy="0"/>
        </a:xfrm>
        <a:prstGeom prst="line">
          <a:avLst/>
        </a:prstGeom>
        <a:ln w="19050" cap="flat">
          <a:solidFill>
            <a:schemeClr val="bg1">
              <a:lumMod val="65000"/>
            </a:schemeClr>
          </a:solidFill>
          <a:prstDash val="solid"/>
          <a:headEnd type="none" w="sm" len="sm"/>
          <a:tailEnd type="none" w="sm" len="sm"/>
        </a:ln>
      </xdr:spPr>
      <xdr:txBody>
        <a:bodyPr wrap="square"/>
        <a:lstStyle/>
        <a:p>
          <a:endParaRPr lang="fr-FR" sz="700">
            <a:solidFill>
              <a:schemeClr val="bg1">
                <a:lumMod val="65000"/>
              </a:schemeClr>
            </a:solidFill>
          </a:endParaRPr>
        </a:p>
      </xdr:txBody>
    </xdr:sp>
    <xdr:clientData/>
  </xdr:twoCellAnchor>
  <xdr:twoCellAnchor>
    <xdr:from>
      <xdr:col>4</xdr:col>
      <xdr:colOff>336267</xdr:colOff>
      <xdr:row>42</xdr:row>
      <xdr:rowOff>66675</xdr:rowOff>
    </xdr:from>
    <xdr:to>
      <xdr:col>6</xdr:col>
      <xdr:colOff>258881</xdr:colOff>
      <xdr:row>43</xdr:row>
      <xdr:rowOff>164267</xdr:rowOff>
    </xdr:to>
    <xdr:sp macro="" textlink="">
      <xdr:nvSpPr>
        <xdr:cNvPr id="19" name="TextBox 2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3384267" y="8067675"/>
          <a:ext cx="1446614" cy="288092"/>
        </a:xfrm>
        <a:prstGeom prst="rect">
          <a:avLst/>
        </a:prstGeom>
      </xdr:spPr>
      <xdr:txBody>
        <a:bodyPr wrap="square" lIns="0" tIns="0" rIns="0" bIns="0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640"/>
            </a:lnSpc>
          </a:pPr>
          <a:r>
            <a:rPr lang="en-US" sz="1000">
              <a:solidFill>
                <a:schemeClr val="bg1">
                  <a:lumMod val="75000"/>
                </a:schemeClr>
              </a:solidFill>
              <a:latin typeface="Montserrat"/>
              <a:ea typeface="Montserrat"/>
              <a:cs typeface="Montserrat"/>
              <a:sym typeface="Montserrat"/>
            </a:rPr>
            <a:t>2024</a:t>
          </a:r>
        </a:p>
      </xdr:txBody>
    </xdr:sp>
    <xdr:clientData/>
  </xdr:twoCellAnchor>
  <xdr:twoCellAnchor>
    <xdr:from>
      <xdr:col>0</xdr:col>
      <xdr:colOff>219075</xdr:colOff>
      <xdr:row>42</xdr:row>
      <xdr:rowOff>130493</xdr:rowOff>
    </xdr:from>
    <xdr:to>
      <xdr:col>5</xdr:col>
      <xdr:colOff>208765</xdr:colOff>
      <xdr:row>43</xdr:row>
      <xdr:rowOff>188394</xdr:rowOff>
    </xdr:to>
    <xdr:sp macro="" textlink="">
      <xdr:nvSpPr>
        <xdr:cNvPr id="20" name="TextBox 2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219075" y="8131493"/>
          <a:ext cx="3799690" cy="248401"/>
        </a:xfrm>
        <a:prstGeom prst="rect">
          <a:avLst/>
        </a:prstGeom>
      </xdr:spPr>
      <xdr:txBody>
        <a:bodyPr wrap="square" lIns="0" tIns="0" rIns="0" bIns="0" rtlCol="0" anchor="t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310"/>
            </a:lnSpc>
          </a:pPr>
          <a:r>
            <a:rPr lang="en-US" sz="1000">
              <a:solidFill>
                <a:schemeClr val="bg1">
                  <a:lumMod val="75000"/>
                </a:schemeClr>
              </a:solidFill>
              <a:latin typeface="Montserrat"/>
              <a:ea typeface="Montserrat"/>
              <a:cs typeface="Montserrat"/>
              <a:sym typeface="Montserrat"/>
            </a:rPr>
            <a:t>Copyright DATA EIDS</a:t>
          </a:r>
        </a:p>
      </xdr:txBody>
    </xdr:sp>
    <xdr:clientData/>
  </xdr:twoCellAnchor>
  <xdr:twoCellAnchor>
    <xdr:from>
      <xdr:col>12</xdr:col>
      <xdr:colOff>638175</xdr:colOff>
      <xdr:row>15</xdr:row>
      <xdr:rowOff>57150</xdr:rowOff>
    </xdr:from>
    <xdr:to>
      <xdr:col>17</xdr:col>
      <xdr:colOff>552450</xdr:colOff>
      <xdr:row>20</xdr:row>
      <xdr:rowOff>47625</xdr:rowOff>
    </xdr:to>
    <xdr:sp macro="[0]!formulairemonabanq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782175" y="2914650"/>
          <a:ext cx="3724275" cy="942975"/>
        </a:xfrm>
        <a:prstGeom prst="roundRect">
          <a:avLst>
            <a:gd name="adj" fmla="val 10606"/>
          </a:avLst>
        </a:prstGeom>
        <a:solidFill>
          <a:srgbClr val="F95455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lt1"/>
              </a:solidFill>
              <a:effectLst/>
              <a:latin typeface="Poppins Bold"/>
              <a:ea typeface="+mn-ea"/>
              <a:cs typeface="+mn-cs"/>
            </a:rPr>
            <a:t>Démarrer la saisie</a:t>
          </a:r>
          <a:endParaRPr lang="fr-FR" sz="2800">
            <a:effectLst/>
            <a:latin typeface="Poppins Bold"/>
          </a:endParaRPr>
        </a:p>
      </xdr:txBody>
    </xdr:sp>
    <xdr:clientData/>
  </xdr:twoCellAnchor>
  <xdr:twoCellAnchor>
    <xdr:from>
      <xdr:col>0</xdr:col>
      <xdr:colOff>142875</xdr:colOff>
      <xdr:row>1</xdr:row>
      <xdr:rowOff>9526</xdr:rowOff>
    </xdr:from>
    <xdr:to>
      <xdr:col>2</xdr:col>
      <xdr:colOff>374565</xdr:colOff>
      <xdr:row>4</xdr:row>
      <xdr:rowOff>28576</xdr:rowOff>
    </xdr:to>
    <xdr:sp macro="" textlink="">
      <xdr:nvSpPr>
        <xdr:cNvPr id="22" name="Freeform 16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42875" y="200026"/>
          <a:ext cx="1755690" cy="590550"/>
        </a:xfrm>
        <a:custGeom>
          <a:avLst/>
          <a:gdLst/>
          <a:ahLst/>
          <a:cxnLst/>
          <a:rect l="l" t="t" r="r" b="b"/>
          <a:pathLst>
            <a:path w="3422942" h="1151353">
              <a:moveTo>
                <a:pt x="0" y="0"/>
              </a:moveTo>
              <a:lnTo>
                <a:pt x="3422942" y="0"/>
              </a:lnTo>
              <a:lnTo>
                <a:pt x="3422942" y="1151353"/>
              </a:lnTo>
              <a:lnTo>
                <a:pt x="0" y="1151353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fr-FR"/>
        </a:p>
      </xdr:txBody>
    </xdr:sp>
    <xdr:clientData/>
  </xdr:twoCellAnchor>
  <xdr:twoCellAnchor editAs="oneCell">
    <xdr:from>
      <xdr:col>17</xdr:col>
      <xdr:colOff>733425</xdr:colOff>
      <xdr:row>15</xdr:row>
      <xdr:rowOff>171451</xdr:rowOff>
    </xdr:from>
    <xdr:to>
      <xdr:col>18</xdr:col>
      <xdr:colOff>752474</xdr:colOff>
      <xdr:row>20</xdr:row>
      <xdr:rowOff>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7425" y="3028951"/>
          <a:ext cx="781049" cy="781049"/>
        </a:xfrm>
        <a:prstGeom prst="rect">
          <a:avLst/>
        </a:prstGeom>
        <a:effectLst>
          <a:outerShdw blurRad="342900" dist="38100" dir="2700000" algn="tl" rotWithShape="0">
            <a:prstClr val="black">
              <a:alpha val="18000"/>
            </a:prst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D1:Z8"/>
  <sheetViews>
    <sheetView topLeftCell="H1" workbookViewId="0">
      <selection activeCell="P1" sqref="P1"/>
    </sheetView>
  </sheetViews>
  <sheetFormatPr baseColWidth="10" defaultRowHeight="15" x14ac:dyDescent="0.25"/>
  <cols>
    <col min="3" max="3" width="0.5703125" customWidth="1"/>
    <col min="4" max="4" width="16.85546875" customWidth="1"/>
    <col min="5" max="5" width="30.5703125" customWidth="1"/>
    <col min="6" max="10" width="16.85546875" customWidth="1"/>
    <col min="11" max="11" width="23.7109375" customWidth="1"/>
    <col min="12" max="13" width="16.85546875" customWidth="1"/>
    <col min="14" max="14" width="9.42578125" customWidth="1"/>
    <col min="15" max="15" width="5.7109375" customWidth="1"/>
    <col min="17" max="17" width="20.5703125" customWidth="1"/>
    <col min="18" max="18" width="4.28515625" customWidth="1"/>
    <col min="19" max="19" width="13.28515625" customWidth="1"/>
    <col min="20" max="20" width="5.28515625" customWidth="1"/>
    <col min="21" max="21" width="17" customWidth="1"/>
  </cols>
  <sheetData>
    <row r="1" spans="4:26" x14ac:dyDescent="0.25">
      <c r="D1" t="s">
        <v>0</v>
      </c>
      <c r="E1" s="1" t="s">
        <v>1</v>
      </c>
      <c r="F1" t="s">
        <v>2</v>
      </c>
      <c r="G1" t="s">
        <v>3</v>
      </c>
      <c r="H1" t="s">
        <v>6</v>
      </c>
      <c r="I1" t="s">
        <v>7</v>
      </c>
      <c r="J1" t="s">
        <v>5</v>
      </c>
      <c r="K1" t="s">
        <v>4</v>
      </c>
      <c r="L1" t="s">
        <v>9</v>
      </c>
      <c r="M1" t="s">
        <v>10</v>
      </c>
      <c r="N1" s="1" t="s">
        <v>11</v>
      </c>
      <c r="O1" t="str" cm="1">
        <f t="array" ref="O1">INDEX(Feuil2!M:M,V2+1,1)</f>
        <v>index</v>
      </c>
      <c r="P1">
        <f>MATCH(O1,M:M,0)</f>
        <v>1</v>
      </c>
      <c r="Q1" s="1" t="s">
        <v>1</v>
      </c>
      <c r="R1" t="s">
        <v>2</v>
      </c>
      <c r="S1" s="1" t="s">
        <v>3</v>
      </c>
      <c r="T1" t="s">
        <v>6</v>
      </c>
      <c r="U1" t="s">
        <v>7</v>
      </c>
      <c r="V1" t="s">
        <v>5</v>
      </c>
      <c r="W1" t="s">
        <v>4</v>
      </c>
      <c r="X1" t="s">
        <v>9</v>
      </c>
      <c r="Y1" s="1"/>
      <c r="Z1">
        <v>2</v>
      </c>
    </row>
    <row r="2" spans="4:26" x14ac:dyDescent="0.25">
      <c r="D2" t="s">
        <v>33</v>
      </c>
      <c r="E2" t="s">
        <v>34</v>
      </c>
      <c r="F2" t="s">
        <v>35</v>
      </c>
      <c r="G2" t="s">
        <v>39</v>
      </c>
      <c r="H2" t="s">
        <v>40</v>
      </c>
      <c r="I2" t="s">
        <v>37</v>
      </c>
      <c r="J2" t="s">
        <v>36</v>
      </c>
      <c r="K2" t="s">
        <v>41</v>
      </c>
      <c r="L2" t="s">
        <v>8</v>
      </c>
      <c r="M2">
        <v>3</v>
      </c>
      <c r="N2" s="4" t="s">
        <v>38</v>
      </c>
      <c r="Q2" s="2">
        <v>46121</v>
      </c>
      <c r="X2" t="s">
        <v>8</v>
      </c>
      <c r="Y2">
        <v>2</v>
      </c>
      <c r="Z2">
        <v>1</v>
      </c>
    </row>
    <row r="3" spans="4:26" x14ac:dyDescent="0.25">
      <c r="N3" s="4"/>
      <c r="V3">
        <v>3</v>
      </c>
    </row>
    <row r="4" spans="4:26" x14ac:dyDescent="0.25">
      <c r="N4" s="4"/>
    </row>
    <row r="5" spans="4:26" x14ac:dyDescent="0.25">
      <c r="N5" s="4"/>
    </row>
    <row r="6" spans="4:26" x14ac:dyDescent="0.25">
      <c r="N6" s="4"/>
    </row>
    <row r="7" spans="4:26" x14ac:dyDescent="0.25">
      <c r="N7" s="4"/>
    </row>
    <row r="8" spans="4:26" x14ac:dyDescent="0.25">
      <c r="N8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"/>
  <sheetViews>
    <sheetView showGridLines="0" showRowColHeaders="0" tabSelected="1" workbookViewId="0">
      <selection activeCell="AE54" sqref="AE54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8645-02A2-429C-B32A-05AAD21E0AF3}">
  <sheetPr codeName="Feuil4"/>
  <dimension ref="D1:N1"/>
  <sheetViews>
    <sheetView workbookViewId="0">
      <selection activeCell="D2" sqref="D2:N10"/>
    </sheetView>
  </sheetViews>
  <sheetFormatPr baseColWidth="10" defaultRowHeight="15" x14ac:dyDescent="0.25"/>
  <sheetData>
    <row r="1" spans="4:14" x14ac:dyDescent="0.25">
      <c r="D1" t="s">
        <v>0</v>
      </c>
      <c r="E1" s="1" t="s">
        <v>1</v>
      </c>
      <c r="F1" t="s">
        <v>2</v>
      </c>
      <c r="G1" t="s">
        <v>3</v>
      </c>
      <c r="H1" t="s">
        <v>6</v>
      </c>
      <c r="I1" t="s">
        <v>7</v>
      </c>
      <c r="J1" t="s">
        <v>5</v>
      </c>
      <c r="K1" t="s">
        <v>4</v>
      </c>
      <c r="L1" t="s">
        <v>9</v>
      </c>
      <c r="M1" t="s">
        <v>10</v>
      </c>
      <c r="N1" s="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B1:JD1069"/>
  <sheetViews>
    <sheetView workbookViewId="0">
      <selection activeCell="D2" sqref="D2:N12"/>
    </sheetView>
  </sheetViews>
  <sheetFormatPr baseColWidth="10" defaultRowHeight="15" x14ac:dyDescent="0.25"/>
  <sheetData>
    <row r="1" spans="2:19" x14ac:dyDescent="0.25">
      <c r="B1" s="3"/>
      <c r="D1" t="s">
        <v>0</v>
      </c>
      <c r="E1" s="1" t="s">
        <v>1</v>
      </c>
      <c r="F1" t="s">
        <v>2</v>
      </c>
      <c r="G1" t="s">
        <v>3</v>
      </c>
      <c r="H1" t="s">
        <v>6</v>
      </c>
      <c r="I1" t="s">
        <v>7</v>
      </c>
      <c r="J1" t="s">
        <v>5</v>
      </c>
      <c r="K1" t="s">
        <v>4</v>
      </c>
      <c r="L1" t="s">
        <v>9</v>
      </c>
      <c r="M1" t="s">
        <v>10</v>
      </c>
      <c r="N1" s="1" t="s">
        <v>11</v>
      </c>
      <c r="O1" s="2"/>
      <c r="Q1" s="1" t="s">
        <v>1</v>
      </c>
      <c r="R1" t="s">
        <v>9</v>
      </c>
      <c r="S1" s="2"/>
    </row>
    <row r="2" spans="2:19" x14ac:dyDescent="0.25">
      <c r="B2" s="3"/>
      <c r="Q2" s="2">
        <v>45633</v>
      </c>
      <c r="R2" t="s">
        <v>8</v>
      </c>
    </row>
    <row r="3" spans="2:19" x14ac:dyDescent="0.25">
      <c r="B3" s="3"/>
    </row>
    <row r="4" spans="2:19" x14ac:dyDescent="0.25">
      <c r="B4" s="3"/>
    </row>
    <row r="5" spans="2:19" x14ac:dyDescent="0.25">
      <c r="B5" s="3"/>
    </row>
    <row r="6" spans="2:19" x14ac:dyDescent="0.25">
      <c r="B6" s="3"/>
    </row>
    <row r="7" spans="2:19" x14ac:dyDescent="0.25">
      <c r="B7" s="3"/>
    </row>
    <row r="8" spans="2:19" x14ac:dyDescent="0.25">
      <c r="B8" s="3"/>
    </row>
    <row r="9" spans="2:19" x14ac:dyDescent="0.25">
      <c r="B9" s="3"/>
    </row>
    <row r="10" spans="2:19" x14ac:dyDescent="0.25">
      <c r="B10" s="3"/>
    </row>
    <row r="11" spans="2:19" x14ac:dyDescent="0.25">
      <c r="B11" s="3"/>
    </row>
    <row r="12" spans="2:19" x14ac:dyDescent="0.25">
      <c r="B12" s="3"/>
    </row>
    <row r="13" spans="2:19" x14ac:dyDescent="0.25">
      <c r="B13" s="3"/>
    </row>
    <row r="14" spans="2:19" x14ac:dyDescent="0.25">
      <c r="B14" s="3"/>
    </row>
    <row r="15" spans="2:19" x14ac:dyDescent="0.25">
      <c r="B15" s="3"/>
    </row>
    <row r="16" spans="2:19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  <row r="60" spans="2:2" x14ac:dyDescent="0.25">
      <c r="B60" s="3"/>
    </row>
    <row r="61" spans="2:2" x14ac:dyDescent="0.25">
      <c r="B61" s="3"/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  <row r="77" spans="2:2" x14ac:dyDescent="0.25">
      <c r="B77" s="3"/>
    </row>
    <row r="78" spans="2:2" x14ac:dyDescent="0.25">
      <c r="B78" s="3"/>
    </row>
    <row r="79" spans="2:2" x14ac:dyDescent="0.25">
      <c r="B79" s="3"/>
    </row>
    <row r="80" spans="2:2" x14ac:dyDescent="0.25">
      <c r="B80" s="3"/>
    </row>
    <row r="81" spans="2:2" x14ac:dyDescent="0.25">
      <c r="B81" s="3"/>
    </row>
    <row r="82" spans="2:2" x14ac:dyDescent="0.25">
      <c r="B82" s="3"/>
    </row>
    <row r="83" spans="2:2" x14ac:dyDescent="0.25">
      <c r="B83" s="3"/>
    </row>
    <row r="84" spans="2:2" x14ac:dyDescent="0.25">
      <c r="B84" s="3"/>
    </row>
    <row r="85" spans="2:2" x14ac:dyDescent="0.25">
      <c r="B85" s="3"/>
    </row>
    <row r="86" spans="2:2" x14ac:dyDescent="0.25">
      <c r="B86" s="3"/>
    </row>
    <row r="87" spans="2:2" x14ac:dyDescent="0.25">
      <c r="B87" s="3"/>
    </row>
    <row r="88" spans="2:2" x14ac:dyDescent="0.25">
      <c r="B88" s="3"/>
    </row>
    <row r="89" spans="2:2" x14ac:dyDescent="0.25">
      <c r="B89" s="3"/>
    </row>
    <row r="90" spans="2:2" x14ac:dyDescent="0.25">
      <c r="B90" s="3"/>
    </row>
    <row r="91" spans="2:2" x14ac:dyDescent="0.25">
      <c r="B91" s="3"/>
    </row>
    <row r="92" spans="2:2" x14ac:dyDescent="0.25">
      <c r="B92" s="3"/>
    </row>
    <row r="93" spans="2:2" x14ac:dyDescent="0.25">
      <c r="B93" s="3"/>
    </row>
    <row r="94" spans="2:2" x14ac:dyDescent="0.25">
      <c r="B94" s="3"/>
    </row>
    <row r="95" spans="2:2" x14ac:dyDescent="0.25">
      <c r="B95" s="3"/>
    </row>
    <row r="96" spans="2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19" x14ac:dyDescent="0.25">
      <c r="B129" s="3"/>
    </row>
    <row r="130" spans="2:19" x14ac:dyDescent="0.25">
      <c r="B130" s="3"/>
      <c r="R130">
        <v>129</v>
      </c>
    </row>
    <row r="131" spans="2:19" x14ac:dyDescent="0.25">
      <c r="B131" s="3"/>
    </row>
    <row r="132" spans="2:19" x14ac:dyDescent="0.25">
      <c r="B132" s="3"/>
      <c r="O132" t="s">
        <v>2</v>
      </c>
      <c r="P132" t="s">
        <v>3</v>
      </c>
      <c r="Q132" t="s">
        <v>6</v>
      </c>
      <c r="R132">
        <v>162</v>
      </c>
      <c r="S132">
        <v>6</v>
      </c>
    </row>
    <row r="133" spans="2:19" x14ac:dyDescent="0.25">
      <c r="B133" s="3"/>
      <c r="R133">
        <v>131</v>
      </c>
    </row>
    <row r="134" spans="2:19" x14ac:dyDescent="0.25">
      <c r="B134" s="3"/>
      <c r="S134">
        <v>822</v>
      </c>
    </row>
    <row r="135" spans="2:19" x14ac:dyDescent="0.25">
      <c r="B135" s="3"/>
    </row>
    <row r="136" spans="2:19" x14ac:dyDescent="0.25">
      <c r="B136" s="3"/>
    </row>
    <row r="137" spans="2:19" x14ac:dyDescent="0.25">
      <c r="B137" s="3"/>
    </row>
    <row r="138" spans="2:19" x14ac:dyDescent="0.25">
      <c r="B138" s="3"/>
    </row>
    <row r="139" spans="2:19" x14ac:dyDescent="0.25">
      <c r="B139" s="3"/>
    </row>
    <row r="140" spans="2:19" x14ac:dyDescent="0.25">
      <c r="B140" s="3"/>
    </row>
    <row r="141" spans="2:19" x14ac:dyDescent="0.25">
      <c r="B141" s="3"/>
    </row>
    <row r="142" spans="2:19" x14ac:dyDescent="0.25">
      <c r="B142" s="3"/>
    </row>
    <row r="143" spans="2:19" x14ac:dyDescent="0.25">
      <c r="B143" s="3"/>
    </row>
    <row r="144" spans="2:19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  <row r="164" spans="2:2" x14ac:dyDescent="0.25">
      <c r="B164" s="3"/>
    </row>
    <row r="165" spans="2:2" x14ac:dyDescent="0.25">
      <c r="B165" s="3"/>
    </row>
    <row r="166" spans="2:2" x14ac:dyDescent="0.25">
      <c r="B166" s="3"/>
    </row>
    <row r="167" spans="2:2" x14ac:dyDescent="0.25">
      <c r="B167" s="3"/>
    </row>
    <row r="168" spans="2:2" x14ac:dyDescent="0.25">
      <c r="B168" s="3"/>
    </row>
    <row r="169" spans="2:2" x14ac:dyDescent="0.25">
      <c r="B169" s="3"/>
    </row>
    <row r="170" spans="2:2" x14ac:dyDescent="0.25">
      <c r="B170" s="3"/>
    </row>
    <row r="171" spans="2:2" x14ac:dyDescent="0.25">
      <c r="B171" s="3"/>
    </row>
    <row r="172" spans="2:2" x14ac:dyDescent="0.25">
      <c r="B172" s="3"/>
    </row>
    <row r="173" spans="2:2" x14ac:dyDescent="0.25">
      <c r="B173" s="3"/>
    </row>
    <row r="174" spans="2:2" x14ac:dyDescent="0.25">
      <c r="B174" s="3"/>
    </row>
    <row r="175" spans="2:2" x14ac:dyDescent="0.25">
      <c r="B175" s="3"/>
    </row>
    <row r="176" spans="2:2" x14ac:dyDescent="0.25">
      <c r="B176" s="3"/>
    </row>
    <row r="177" spans="2:2" x14ac:dyDescent="0.25">
      <c r="B177" s="3"/>
    </row>
    <row r="178" spans="2:2" x14ac:dyDescent="0.25">
      <c r="B178" s="3"/>
    </row>
    <row r="179" spans="2:2" x14ac:dyDescent="0.25">
      <c r="B179" s="3"/>
    </row>
    <row r="180" spans="2:2" x14ac:dyDescent="0.25">
      <c r="B180" s="3"/>
    </row>
    <row r="181" spans="2:2" x14ac:dyDescent="0.25">
      <c r="B181" s="3"/>
    </row>
    <row r="182" spans="2:2" x14ac:dyDescent="0.25">
      <c r="B182" s="3"/>
    </row>
    <row r="183" spans="2:2" x14ac:dyDescent="0.25">
      <c r="B183" s="3"/>
    </row>
    <row r="184" spans="2:2" x14ac:dyDescent="0.25">
      <c r="B184" s="3"/>
    </row>
    <row r="185" spans="2:2" x14ac:dyDescent="0.25">
      <c r="B185" s="3"/>
    </row>
    <row r="186" spans="2:2" x14ac:dyDescent="0.25">
      <c r="B186" s="3"/>
    </row>
    <row r="187" spans="2:2" x14ac:dyDescent="0.25">
      <c r="B187" s="3"/>
    </row>
    <row r="188" spans="2:2" x14ac:dyDescent="0.25">
      <c r="B188" s="3"/>
    </row>
    <row r="189" spans="2:2" x14ac:dyDescent="0.25">
      <c r="B189" s="3"/>
    </row>
    <row r="190" spans="2:2" x14ac:dyDescent="0.25">
      <c r="B190" s="3"/>
    </row>
    <row r="191" spans="2:2" x14ac:dyDescent="0.25">
      <c r="B191" s="3"/>
    </row>
    <row r="192" spans="2:2" x14ac:dyDescent="0.25">
      <c r="B192" s="3"/>
    </row>
    <row r="193" spans="2:19" x14ac:dyDescent="0.25">
      <c r="B193" s="3"/>
    </row>
    <row r="194" spans="2:19" x14ac:dyDescent="0.25">
      <c r="B194" s="3"/>
    </row>
    <row r="195" spans="2:19" x14ac:dyDescent="0.25">
      <c r="B195" s="3"/>
    </row>
    <row r="196" spans="2:19" x14ac:dyDescent="0.25">
      <c r="B196" s="3"/>
    </row>
    <row r="197" spans="2:19" x14ac:dyDescent="0.25">
      <c r="B197" s="3"/>
    </row>
    <row r="198" spans="2:19" x14ac:dyDescent="0.25">
      <c r="B198" s="3"/>
    </row>
    <row r="199" spans="2:19" x14ac:dyDescent="0.25">
      <c r="B199" s="3"/>
      <c r="O199" t="s">
        <v>2</v>
      </c>
      <c r="P199" t="s">
        <v>3</v>
      </c>
      <c r="Q199" t="s">
        <v>6</v>
      </c>
      <c r="R199">
        <v>162</v>
      </c>
      <c r="S199">
        <v>6</v>
      </c>
    </row>
    <row r="200" spans="2:19" x14ac:dyDescent="0.25">
      <c r="B200" s="3"/>
      <c r="R200">
        <v>198</v>
      </c>
    </row>
    <row r="201" spans="2:19" x14ac:dyDescent="0.25">
      <c r="B201" s="3"/>
      <c r="S201">
        <v>822</v>
      </c>
    </row>
    <row r="202" spans="2:19" x14ac:dyDescent="0.25">
      <c r="B202" s="3"/>
    </row>
    <row r="203" spans="2:19" x14ac:dyDescent="0.25">
      <c r="B203" s="3"/>
    </row>
    <row r="204" spans="2:19" x14ac:dyDescent="0.25">
      <c r="B204" s="3"/>
    </row>
    <row r="205" spans="2:19" x14ac:dyDescent="0.25">
      <c r="B205" s="3"/>
    </row>
    <row r="206" spans="2:19" x14ac:dyDescent="0.25">
      <c r="B206" s="3"/>
    </row>
    <row r="207" spans="2:19" x14ac:dyDescent="0.25">
      <c r="B207" s="3"/>
    </row>
    <row r="208" spans="2:19" x14ac:dyDescent="0.25">
      <c r="B208" s="3"/>
    </row>
    <row r="209" spans="2:2" x14ac:dyDescent="0.25">
      <c r="B209" s="3"/>
    </row>
    <row r="210" spans="2:2" x14ac:dyDescent="0.25">
      <c r="B210" s="3"/>
    </row>
    <row r="211" spans="2:2" x14ac:dyDescent="0.25">
      <c r="B211" s="3"/>
    </row>
    <row r="212" spans="2:2" x14ac:dyDescent="0.25">
      <c r="B212" s="3"/>
    </row>
    <row r="213" spans="2:2" x14ac:dyDescent="0.25">
      <c r="B213" s="3"/>
    </row>
    <row r="214" spans="2:2" x14ac:dyDescent="0.25">
      <c r="B214" s="3"/>
    </row>
    <row r="215" spans="2:2" x14ac:dyDescent="0.25">
      <c r="B215" s="3"/>
    </row>
    <row r="216" spans="2:2" x14ac:dyDescent="0.25">
      <c r="B216" s="3"/>
    </row>
    <row r="217" spans="2:2" x14ac:dyDescent="0.25">
      <c r="B217" s="3"/>
    </row>
    <row r="218" spans="2:2" x14ac:dyDescent="0.25">
      <c r="B218" s="3"/>
    </row>
    <row r="219" spans="2:2" x14ac:dyDescent="0.25">
      <c r="B219" s="3"/>
    </row>
    <row r="220" spans="2:2" x14ac:dyDescent="0.25">
      <c r="B220" s="3"/>
    </row>
    <row r="221" spans="2:2" x14ac:dyDescent="0.25">
      <c r="B221" s="3"/>
    </row>
    <row r="222" spans="2:2" x14ac:dyDescent="0.25">
      <c r="B222" s="3"/>
    </row>
    <row r="223" spans="2:2" x14ac:dyDescent="0.25">
      <c r="B223" s="3"/>
    </row>
    <row r="224" spans="2:2" x14ac:dyDescent="0.25">
      <c r="B224" s="3"/>
    </row>
    <row r="225" spans="2:2" x14ac:dyDescent="0.25">
      <c r="B225" s="3"/>
    </row>
    <row r="226" spans="2:2" x14ac:dyDescent="0.25">
      <c r="B226" s="3"/>
    </row>
    <row r="227" spans="2:2" x14ac:dyDescent="0.25">
      <c r="B227" s="3"/>
    </row>
    <row r="228" spans="2:2" x14ac:dyDescent="0.25">
      <c r="B228" s="3"/>
    </row>
    <row r="229" spans="2:2" x14ac:dyDescent="0.25">
      <c r="B229" s="3"/>
    </row>
    <row r="230" spans="2:2" x14ac:dyDescent="0.25">
      <c r="B230" s="3"/>
    </row>
    <row r="231" spans="2:2" x14ac:dyDescent="0.25">
      <c r="B231" s="3"/>
    </row>
    <row r="232" spans="2:2" x14ac:dyDescent="0.25">
      <c r="B232" s="3"/>
    </row>
    <row r="233" spans="2:2" x14ac:dyDescent="0.25">
      <c r="B233" s="3"/>
    </row>
    <row r="234" spans="2:2" x14ac:dyDescent="0.25">
      <c r="B234" s="3"/>
    </row>
    <row r="235" spans="2:2" x14ac:dyDescent="0.25">
      <c r="B235" s="3"/>
    </row>
    <row r="236" spans="2:2" x14ac:dyDescent="0.25">
      <c r="B236" s="3"/>
    </row>
    <row r="237" spans="2:2" x14ac:dyDescent="0.25">
      <c r="B237" s="3"/>
    </row>
    <row r="238" spans="2:2" x14ac:dyDescent="0.25">
      <c r="B238" s="3"/>
    </row>
    <row r="239" spans="2:2" x14ac:dyDescent="0.25">
      <c r="B239" s="3"/>
    </row>
    <row r="240" spans="2:2" x14ac:dyDescent="0.25">
      <c r="B240" s="3"/>
    </row>
    <row r="241" spans="2:2" x14ac:dyDescent="0.25">
      <c r="B241" s="3"/>
    </row>
    <row r="242" spans="2:2" x14ac:dyDescent="0.25">
      <c r="B242" s="3"/>
    </row>
    <row r="243" spans="2:2" x14ac:dyDescent="0.25">
      <c r="B243" s="3"/>
    </row>
    <row r="244" spans="2:2" x14ac:dyDescent="0.25">
      <c r="B244" s="3"/>
    </row>
    <row r="245" spans="2:2" x14ac:dyDescent="0.25">
      <c r="B245" s="3"/>
    </row>
    <row r="246" spans="2:2" x14ac:dyDescent="0.25">
      <c r="B246" s="3"/>
    </row>
    <row r="247" spans="2:2" x14ac:dyDescent="0.25">
      <c r="B247" s="3"/>
    </row>
    <row r="248" spans="2:2" x14ac:dyDescent="0.25">
      <c r="B248" s="3"/>
    </row>
    <row r="249" spans="2:2" x14ac:dyDescent="0.25">
      <c r="B249" s="3"/>
    </row>
    <row r="250" spans="2:2" x14ac:dyDescent="0.25">
      <c r="B250" s="3"/>
    </row>
    <row r="251" spans="2:2" x14ac:dyDescent="0.25">
      <c r="B251" s="3"/>
    </row>
    <row r="252" spans="2:2" x14ac:dyDescent="0.25">
      <c r="B252" s="3"/>
    </row>
    <row r="253" spans="2:2" x14ac:dyDescent="0.25">
      <c r="B253" s="3"/>
    </row>
    <row r="254" spans="2:2" x14ac:dyDescent="0.25">
      <c r="B254" s="3"/>
    </row>
    <row r="255" spans="2:2" x14ac:dyDescent="0.25">
      <c r="B255" s="3"/>
    </row>
    <row r="256" spans="2:2" x14ac:dyDescent="0.25">
      <c r="B256" s="3"/>
    </row>
    <row r="257" spans="2:19" x14ac:dyDescent="0.25">
      <c r="B257" s="3"/>
    </row>
    <row r="258" spans="2:19" x14ac:dyDescent="0.25">
      <c r="B258" s="3"/>
    </row>
    <row r="259" spans="2:19" x14ac:dyDescent="0.25">
      <c r="B259" s="3"/>
    </row>
    <row r="260" spans="2:19" x14ac:dyDescent="0.25">
      <c r="B260" s="3"/>
    </row>
    <row r="261" spans="2:19" x14ac:dyDescent="0.25">
      <c r="B261" s="3"/>
    </row>
    <row r="262" spans="2:19" x14ac:dyDescent="0.25">
      <c r="B262" s="3"/>
    </row>
    <row r="263" spans="2:19" x14ac:dyDescent="0.25">
      <c r="B263" s="3"/>
    </row>
    <row r="264" spans="2:19" x14ac:dyDescent="0.25">
      <c r="B264" s="3"/>
    </row>
    <row r="265" spans="2:19" x14ac:dyDescent="0.25">
      <c r="B265" s="3"/>
    </row>
    <row r="266" spans="2:19" x14ac:dyDescent="0.25">
      <c r="B266" s="3"/>
    </row>
    <row r="267" spans="2:19" x14ac:dyDescent="0.25">
      <c r="B267" s="3"/>
    </row>
    <row r="268" spans="2:19" x14ac:dyDescent="0.25">
      <c r="B268" s="3"/>
    </row>
    <row r="269" spans="2:19" x14ac:dyDescent="0.25">
      <c r="B269" s="3"/>
      <c r="O269" t="s">
        <v>2</v>
      </c>
      <c r="P269" t="s">
        <v>3</v>
      </c>
      <c r="Q269" t="s">
        <v>6</v>
      </c>
      <c r="R269">
        <v>162</v>
      </c>
      <c r="S269">
        <v>6</v>
      </c>
    </row>
    <row r="270" spans="2:19" x14ac:dyDescent="0.25">
      <c r="B270" s="3"/>
      <c r="R270">
        <v>268</v>
      </c>
    </row>
    <row r="271" spans="2:19" x14ac:dyDescent="0.25">
      <c r="B271" s="3"/>
      <c r="S271">
        <v>846</v>
      </c>
    </row>
    <row r="272" spans="2:19" x14ac:dyDescent="0.25">
      <c r="B272" s="3"/>
    </row>
    <row r="273" spans="2:2" x14ac:dyDescent="0.25">
      <c r="B273" s="3"/>
    </row>
    <row r="274" spans="2:2" x14ac:dyDescent="0.25">
      <c r="B274" s="3"/>
    </row>
    <row r="275" spans="2:2" x14ac:dyDescent="0.25">
      <c r="B275" s="3"/>
    </row>
    <row r="276" spans="2:2" x14ac:dyDescent="0.25">
      <c r="B276" s="3"/>
    </row>
    <row r="277" spans="2:2" x14ac:dyDescent="0.25">
      <c r="B277" s="3"/>
    </row>
    <row r="278" spans="2:2" x14ac:dyDescent="0.25">
      <c r="B278" s="3"/>
    </row>
    <row r="279" spans="2:2" x14ac:dyDescent="0.25">
      <c r="B279" s="3"/>
    </row>
    <row r="280" spans="2:2" x14ac:dyDescent="0.25">
      <c r="B280" s="3"/>
    </row>
    <row r="281" spans="2:2" x14ac:dyDescent="0.25">
      <c r="B281" s="3"/>
    </row>
    <row r="282" spans="2:2" x14ac:dyDescent="0.25">
      <c r="B282" s="3"/>
    </row>
    <row r="283" spans="2:2" x14ac:dyDescent="0.25">
      <c r="B283" s="3"/>
    </row>
    <row r="284" spans="2:2" x14ac:dyDescent="0.25">
      <c r="B284" s="3"/>
    </row>
    <row r="285" spans="2:2" x14ac:dyDescent="0.25">
      <c r="B285" s="3"/>
    </row>
    <row r="286" spans="2:2" x14ac:dyDescent="0.25">
      <c r="B286" s="3"/>
    </row>
    <row r="287" spans="2:2" x14ac:dyDescent="0.25">
      <c r="B287" s="3"/>
    </row>
    <row r="288" spans="2:2" x14ac:dyDescent="0.25">
      <c r="B288" s="3"/>
    </row>
    <row r="289" spans="2:2" x14ac:dyDescent="0.25">
      <c r="B289" s="3"/>
    </row>
    <row r="290" spans="2:2" x14ac:dyDescent="0.25">
      <c r="B290" s="3"/>
    </row>
    <row r="291" spans="2:2" x14ac:dyDescent="0.25">
      <c r="B291" s="3"/>
    </row>
    <row r="292" spans="2:2" x14ac:dyDescent="0.25">
      <c r="B292" s="3"/>
    </row>
    <row r="293" spans="2:2" x14ac:dyDescent="0.25">
      <c r="B293" s="3"/>
    </row>
    <row r="294" spans="2:2" x14ac:dyDescent="0.25">
      <c r="B294" s="3"/>
    </row>
    <row r="295" spans="2:2" x14ac:dyDescent="0.25">
      <c r="B295" s="3"/>
    </row>
    <row r="296" spans="2:2" x14ac:dyDescent="0.25">
      <c r="B296" s="3"/>
    </row>
    <row r="297" spans="2:2" x14ac:dyDescent="0.25">
      <c r="B297" s="3"/>
    </row>
    <row r="298" spans="2:2" x14ac:dyDescent="0.25">
      <c r="B298" s="3"/>
    </row>
    <row r="299" spans="2:2" x14ac:dyDescent="0.25">
      <c r="B299" s="3"/>
    </row>
    <row r="300" spans="2:2" x14ac:dyDescent="0.25">
      <c r="B300" s="3"/>
    </row>
    <row r="301" spans="2:2" x14ac:dyDescent="0.25">
      <c r="B301" s="3"/>
    </row>
    <row r="302" spans="2:2" x14ac:dyDescent="0.25">
      <c r="B302" s="3"/>
    </row>
    <row r="303" spans="2:2" x14ac:dyDescent="0.25">
      <c r="B303" s="3"/>
    </row>
    <row r="304" spans="2:2" x14ac:dyDescent="0.25">
      <c r="B304" s="3"/>
    </row>
    <row r="305" spans="2:2" x14ac:dyDescent="0.25">
      <c r="B305" s="3"/>
    </row>
    <row r="306" spans="2:2" x14ac:dyDescent="0.25">
      <c r="B306" s="3"/>
    </row>
    <row r="307" spans="2:2" x14ac:dyDescent="0.25">
      <c r="B307" s="3"/>
    </row>
    <row r="308" spans="2:2" x14ac:dyDescent="0.25">
      <c r="B308" s="3"/>
    </row>
    <row r="309" spans="2:2" x14ac:dyDescent="0.25">
      <c r="B309" s="3"/>
    </row>
    <row r="310" spans="2:2" x14ac:dyDescent="0.25">
      <c r="B310" s="3"/>
    </row>
    <row r="311" spans="2:2" x14ac:dyDescent="0.25">
      <c r="B311" s="3"/>
    </row>
    <row r="312" spans="2:2" x14ac:dyDescent="0.25">
      <c r="B312" s="3"/>
    </row>
    <row r="313" spans="2:2" x14ac:dyDescent="0.25">
      <c r="B313" s="3"/>
    </row>
    <row r="314" spans="2:2" x14ac:dyDescent="0.25">
      <c r="B314" s="3"/>
    </row>
    <row r="315" spans="2:2" x14ac:dyDescent="0.25">
      <c r="B315" s="3"/>
    </row>
    <row r="316" spans="2:2" x14ac:dyDescent="0.25">
      <c r="B316" s="3"/>
    </row>
    <row r="317" spans="2:2" x14ac:dyDescent="0.25">
      <c r="B317" s="3"/>
    </row>
    <row r="318" spans="2:2" x14ac:dyDescent="0.25">
      <c r="B318" s="3"/>
    </row>
    <row r="319" spans="2:2" x14ac:dyDescent="0.25">
      <c r="B319" s="3"/>
    </row>
    <row r="320" spans="2:2" x14ac:dyDescent="0.25">
      <c r="B320" s="3"/>
    </row>
    <row r="321" spans="2:2" x14ac:dyDescent="0.25">
      <c r="B321" s="3"/>
    </row>
    <row r="322" spans="2:2" x14ac:dyDescent="0.25">
      <c r="B322" s="3"/>
    </row>
    <row r="323" spans="2:2" x14ac:dyDescent="0.25">
      <c r="B323" s="3"/>
    </row>
    <row r="324" spans="2:2" x14ac:dyDescent="0.25">
      <c r="B324" s="3"/>
    </row>
    <row r="325" spans="2:2" x14ac:dyDescent="0.25">
      <c r="B325" s="3"/>
    </row>
    <row r="326" spans="2:2" x14ac:dyDescent="0.25">
      <c r="B326" s="3"/>
    </row>
    <row r="327" spans="2:2" x14ac:dyDescent="0.25">
      <c r="B327" s="3"/>
    </row>
    <row r="328" spans="2:2" x14ac:dyDescent="0.25">
      <c r="B328" s="3"/>
    </row>
    <row r="329" spans="2:2" x14ac:dyDescent="0.25">
      <c r="B329" s="3"/>
    </row>
    <row r="330" spans="2:2" x14ac:dyDescent="0.25">
      <c r="B330" s="3"/>
    </row>
    <row r="331" spans="2:2" x14ac:dyDescent="0.25">
      <c r="B331" s="3"/>
    </row>
    <row r="332" spans="2:2" x14ac:dyDescent="0.25">
      <c r="B332" s="3"/>
    </row>
    <row r="333" spans="2:2" x14ac:dyDescent="0.25">
      <c r="B333" s="3"/>
    </row>
    <row r="334" spans="2:2" x14ac:dyDescent="0.25">
      <c r="B334" s="3"/>
    </row>
    <row r="335" spans="2:2" x14ac:dyDescent="0.25">
      <c r="B335" s="3"/>
    </row>
    <row r="336" spans="2:2" x14ac:dyDescent="0.25">
      <c r="B336" s="3"/>
    </row>
    <row r="337" spans="2:2" x14ac:dyDescent="0.25">
      <c r="B337" s="3"/>
    </row>
    <row r="338" spans="2:2" x14ac:dyDescent="0.25">
      <c r="B338" s="3"/>
    </row>
    <row r="339" spans="2:2" x14ac:dyDescent="0.25">
      <c r="B339" s="3"/>
    </row>
    <row r="340" spans="2:2" x14ac:dyDescent="0.25">
      <c r="B340" s="3"/>
    </row>
    <row r="341" spans="2:2" x14ac:dyDescent="0.25">
      <c r="B341" s="3"/>
    </row>
    <row r="342" spans="2:2" x14ac:dyDescent="0.25">
      <c r="B342" s="3"/>
    </row>
    <row r="343" spans="2:2" x14ac:dyDescent="0.25">
      <c r="B343" s="3"/>
    </row>
    <row r="344" spans="2:2" x14ac:dyDescent="0.25">
      <c r="B344" s="3"/>
    </row>
    <row r="345" spans="2:2" x14ac:dyDescent="0.25">
      <c r="B345" s="3"/>
    </row>
    <row r="346" spans="2:2" x14ac:dyDescent="0.25">
      <c r="B346" s="3"/>
    </row>
    <row r="347" spans="2:2" x14ac:dyDescent="0.25">
      <c r="B347" s="3"/>
    </row>
    <row r="348" spans="2:2" x14ac:dyDescent="0.25">
      <c r="B348" s="3"/>
    </row>
    <row r="349" spans="2:2" x14ac:dyDescent="0.25">
      <c r="B349" s="3"/>
    </row>
    <row r="350" spans="2:2" x14ac:dyDescent="0.25">
      <c r="B350" s="3"/>
    </row>
    <row r="351" spans="2:2" x14ac:dyDescent="0.25">
      <c r="B351" s="3"/>
    </row>
    <row r="352" spans="2:2" x14ac:dyDescent="0.25">
      <c r="B352" s="3"/>
    </row>
    <row r="353" spans="2:2" x14ac:dyDescent="0.25">
      <c r="B353" s="3"/>
    </row>
    <row r="354" spans="2:2" x14ac:dyDescent="0.25">
      <c r="B354" s="3"/>
    </row>
    <row r="355" spans="2:2" x14ac:dyDescent="0.25">
      <c r="B355" s="3"/>
    </row>
    <row r="356" spans="2:2" x14ac:dyDescent="0.25">
      <c r="B356" s="3"/>
    </row>
    <row r="357" spans="2:2" x14ac:dyDescent="0.25">
      <c r="B357" s="3"/>
    </row>
    <row r="358" spans="2:2" x14ac:dyDescent="0.25">
      <c r="B358" s="3"/>
    </row>
    <row r="359" spans="2:2" x14ac:dyDescent="0.25">
      <c r="B359" s="3"/>
    </row>
    <row r="360" spans="2:2" x14ac:dyDescent="0.25">
      <c r="B360" s="3"/>
    </row>
    <row r="361" spans="2:2" x14ac:dyDescent="0.25">
      <c r="B361" s="3"/>
    </row>
    <row r="362" spans="2:2" x14ac:dyDescent="0.25">
      <c r="B362" s="3"/>
    </row>
    <row r="363" spans="2:2" x14ac:dyDescent="0.25">
      <c r="B363" s="3"/>
    </row>
    <row r="364" spans="2:2" x14ac:dyDescent="0.25">
      <c r="B364" s="3"/>
    </row>
    <row r="365" spans="2:2" x14ac:dyDescent="0.25">
      <c r="B365" s="3"/>
    </row>
    <row r="366" spans="2:2" x14ac:dyDescent="0.25">
      <c r="B366" s="3"/>
    </row>
    <row r="367" spans="2:2" x14ac:dyDescent="0.25">
      <c r="B367" s="3"/>
    </row>
    <row r="368" spans="2:2" x14ac:dyDescent="0.25">
      <c r="B368" s="3"/>
    </row>
    <row r="369" spans="2:2" x14ac:dyDescent="0.25">
      <c r="B369" s="3"/>
    </row>
    <row r="370" spans="2:2" x14ac:dyDescent="0.25">
      <c r="B370" s="3"/>
    </row>
    <row r="371" spans="2:2" x14ac:dyDescent="0.25">
      <c r="B371" s="3"/>
    </row>
    <row r="372" spans="2:2" x14ac:dyDescent="0.25">
      <c r="B372" s="3"/>
    </row>
    <row r="373" spans="2:2" x14ac:dyDescent="0.25">
      <c r="B373" s="3"/>
    </row>
    <row r="374" spans="2:2" x14ac:dyDescent="0.25">
      <c r="B374" s="3"/>
    </row>
    <row r="375" spans="2:2" x14ac:dyDescent="0.25">
      <c r="B375" s="3"/>
    </row>
    <row r="376" spans="2:2" x14ac:dyDescent="0.25">
      <c r="B376" s="3"/>
    </row>
    <row r="377" spans="2:2" x14ac:dyDescent="0.25">
      <c r="B377" s="3"/>
    </row>
    <row r="378" spans="2:2" x14ac:dyDescent="0.25">
      <c r="B378" s="3"/>
    </row>
    <row r="379" spans="2:2" x14ac:dyDescent="0.25">
      <c r="B379" s="3"/>
    </row>
    <row r="380" spans="2:2" x14ac:dyDescent="0.25">
      <c r="B380" s="3"/>
    </row>
    <row r="381" spans="2:2" x14ac:dyDescent="0.25">
      <c r="B381" s="3"/>
    </row>
    <row r="382" spans="2:2" x14ac:dyDescent="0.25">
      <c r="B382" s="3"/>
    </row>
    <row r="383" spans="2:2" x14ac:dyDescent="0.25">
      <c r="B383" s="3"/>
    </row>
    <row r="384" spans="2:2" x14ac:dyDescent="0.25">
      <c r="B384" s="3"/>
    </row>
    <row r="385" spans="2:2" x14ac:dyDescent="0.25">
      <c r="B385" s="3"/>
    </row>
    <row r="386" spans="2:2" x14ac:dyDescent="0.25">
      <c r="B386" s="3"/>
    </row>
    <row r="387" spans="2:2" x14ac:dyDescent="0.25">
      <c r="B387" s="3"/>
    </row>
    <row r="388" spans="2:2" x14ac:dyDescent="0.25">
      <c r="B388" s="3"/>
    </row>
    <row r="389" spans="2:2" x14ac:dyDescent="0.25">
      <c r="B389" s="3"/>
    </row>
    <row r="390" spans="2:2" x14ac:dyDescent="0.25">
      <c r="B390" s="3"/>
    </row>
    <row r="391" spans="2:2" x14ac:dyDescent="0.25">
      <c r="B391" s="3"/>
    </row>
    <row r="392" spans="2:2" x14ac:dyDescent="0.25">
      <c r="B392" s="3"/>
    </row>
    <row r="393" spans="2:2" x14ac:dyDescent="0.25">
      <c r="B393" s="3"/>
    </row>
    <row r="394" spans="2:2" x14ac:dyDescent="0.25">
      <c r="B394" s="3"/>
    </row>
    <row r="395" spans="2:2" x14ac:dyDescent="0.25">
      <c r="B395" s="3"/>
    </row>
    <row r="396" spans="2:2" x14ac:dyDescent="0.25">
      <c r="B396" s="3"/>
    </row>
    <row r="397" spans="2:2" x14ac:dyDescent="0.25">
      <c r="B397" s="3"/>
    </row>
    <row r="398" spans="2:2" x14ac:dyDescent="0.25">
      <c r="B398" s="3"/>
    </row>
    <row r="399" spans="2:2" x14ac:dyDescent="0.25">
      <c r="B399" s="3"/>
    </row>
    <row r="400" spans="2:2" x14ac:dyDescent="0.25">
      <c r="B400" s="3"/>
    </row>
    <row r="401" spans="2:2" x14ac:dyDescent="0.25">
      <c r="B401" s="3"/>
    </row>
    <row r="402" spans="2:2" x14ac:dyDescent="0.25">
      <c r="B402" s="3"/>
    </row>
    <row r="403" spans="2:2" x14ac:dyDescent="0.25">
      <c r="B403" s="3"/>
    </row>
    <row r="404" spans="2:2" x14ac:dyDescent="0.25">
      <c r="B404" s="3"/>
    </row>
    <row r="405" spans="2:2" x14ac:dyDescent="0.25">
      <c r="B405" s="3"/>
    </row>
    <row r="406" spans="2:2" x14ac:dyDescent="0.25">
      <c r="B406" s="3"/>
    </row>
    <row r="407" spans="2:2" x14ac:dyDescent="0.25">
      <c r="B407" s="3"/>
    </row>
    <row r="408" spans="2:2" x14ac:dyDescent="0.25">
      <c r="B408" s="3"/>
    </row>
    <row r="409" spans="2:2" x14ac:dyDescent="0.25">
      <c r="B409" s="3"/>
    </row>
    <row r="410" spans="2:2" x14ac:dyDescent="0.25">
      <c r="B410" s="3"/>
    </row>
    <row r="411" spans="2:2" x14ac:dyDescent="0.25">
      <c r="B411" s="3"/>
    </row>
    <row r="412" spans="2:2" x14ac:dyDescent="0.25">
      <c r="B412" s="3"/>
    </row>
    <row r="413" spans="2:2" x14ac:dyDescent="0.25">
      <c r="B413" s="3"/>
    </row>
    <row r="414" spans="2:2" x14ac:dyDescent="0.25">
      <c r="B414" s="3"/>
    </row>
    <row r="415" spans="2:2" x14ac:dyDescent="0.25">
      <c r="B415" s="3"/>
    </row>
    <row r="416" spans="2:2" x14ac:dyDescent="0.25">
      <c r="B416" s="3"/>
    </row>
    <row r="417" spans="2:2" x14ac:dyDescent="0.25">
      <c r="B417" s="3"/>
    </row>
    <row r="418" spans="2:2" x14ac:dyDescent="0.25">
      <c r="B418" s="3"/>
    </row>
    <row r="419" spans="2:2" x14ac:dyDescent="0.25">
      <c r="B419" s="3"/>
    </row>
    <row r="420" spans="2:2" x14ac:dyDescent="0.25">
      <c r="B420" s="3"/>
    </row>
    <row r="421" spans="2:2" x14ac:dyDescent="0.25">
      <c r="B421" s="3"/>
    </row>
    <row r="422" spans="2:2" x14ac:dyDescent="0.25">
      <c r="B422" s="3"/>
    </row>
    <row r="423" spans="2:2" x14ac:dyDescent="0.25">
      <c r="B423" s="3"/>
    </row>
    <row r="424" spans="2:2" x14ac:dyDescent="0.25">
      <c r="B424" s="3"/>
    </row>
    <row r="425" spans="2:2" x14ac:dyDescent="0.25">
      <c r="B425" s="3"/>
    </row>
    <row r="426" spans="2:2" x14ac:dyDescent="0.25">
      <c r="B426" s="3"/>
    </row>
    <row r="427" spans="2:2" x14ac:dyDescent="0.25">
      <c r="B427" s="3"/>
    </row>
    <row r="428" spans="2:2" x14ac:dyDescent="0.25">
      <c r="B428" s="3"/>
    </row>
    <row r="429" spans="2:2" x14ac:dyDescent="0.25">
      <c r="B429" s="3"/>
    </row>
    <row r="430" spans="2:2" x14ac:dyDescent="0.25">
      <c r="B430" s="3"/>
    </row>
    <row r="431" spans="2:2" x14ac:dyDescent="0.25">
      <c r="B431" s="3"/>
    </row>
    <row r="432" spans="2:2" x14ac:dyDescent="0.25">
      <c r="B432" s="3"/>
    </row>
    <row r="433" spans="2:2" x14ac:dyDescent="0.25">
      <c r="B433" s="3"/>
    </row>
    <row r="434" spans="2:2" x14ac:dyDescent="0.25">
      <c r="B434" s="3"/>
    </row>
    <row r="435" spans="2:2" x14ac:dyDescent="0.25">
      <c r="B435" s="3"/>
    </row>
    <row r="436" spans="2:2" x14ac:dyDescent="0.25">
      <c r="B436" s="3"/>
    </row>
    <row r="437" spans="2:2" x14ac:dyDescent="0.25">
      <c r="B437" s="3"/>
    </row>
    <row r="438" spans="2:2" x14ac:dyDescent="0.25">
      <c r="B438" s="3"/>
    </row>
    <row r="439" spans="2:2" x14ac:dyDescent="0.25">
      <c r="B439" s="3"/>
    </row>
    <row r="440" spans="2:2" x14ac:dyDescent="0.25">
      <c r="B440" s="3"/>
    </row>
    <row r="441" spans="2:2" x14ac:dyDescent="0.25">
      <c r="B441" s="3"/>
    </row>
    <row r="442" spans="2:2" x14ac:dyDescent="0.25">
      <c r="B442" s="3"/>
    </row>
    <row r="443" spans="2:2" x14ac:dyDescent="0.25">
      <c r="B443" s="3"/>
    </row>
    <row r="444" spans="2:2" x14ac:dyDescent="0.25">
      <c r="B444" s="3"/>
    </row>
    <row r="445" spans="2:2" x14ac:dyDescent="0.25">
      <c r="B445" s="3"/>
    </row>
    <row r="446" spans="2:2" x14ac:dyDescent="0.25">
      <c r="B446" s="3"/>
    </row>
    <row r="447" spans="2:2" x14ac:dyDescent="0.25">
      <c r="B447" s="3"/>
    </row>
    <row r="448" spans="2:2" x14ac:dyDescent="0.25">
      <c r="B448" s="3"/>
    </row>
    <row r="449" spans="2:2" x14ac:dyDescent="0.25">
      <c r="B449" s="3"/>
    </row>
    <row r="450" spans="2:2" x14ac:dyDescent="0.25">
      <c r="B450" s="3"/>
    </row>
    <row r="451" spans="2:2" x14ac:dyDescent="0.25">
      <c r="B451" s="3"/>
    </row>
    <row r="452" spans="2:2" x14ac:dyDescent="0.25">
      <c r="B452" s="3"/>
    </row>
    <row r="453" spans="2:2" x14ac:dyDescent="0.25">
      <c r="B453" s="3"/>
    </row>
    <row r="454" spans="2:2" x14ac:dyDescent="0.25">
      <c r="B454" s="3"/>
    </row>
    <row r="455" spans="2:2" x14ac:dyDescent="0.25">
      <c r="B455" s="3"/>
    </row>
    <row r="456" spans="2:2" x14ac:dyDescent="0.25">
      <c r="B456" s="3"/>
    </row>
    <row r="457" spans="2:2" x14ac:dyDescent="0.25">
      <c r="B457" s="3"/>
    </row>
    <row r="458" spans="2:2" x14ac:dyDescent="0.25">
      <c r="B458" s="3"/>
    </row>
    <row r="459" spans="2:2" x14ac:dyDescent="0.25">
      <c r="B459" s="3"/>
    </row>
    <row r="460" spans="2:2" x14ac:dyDescent="0.25">
      <c r="B460" s="3"/>
    </row>
    <row r="461" spans="2:2" x14ac:dyDescent="0.25">
      <c r="B461" s="3"/>
    </row>
    <row r="462" spans="2:2" x14ac:dyDescent="0.25">
      <c r="B462" s="3"/>
    </row>
    <row r="463" spans="2:2" x14ac:dyDescent="0.25">
      <c r="B463" s="3"/>
    </row>
    <row r="464" spans="2:2" x14ac:dyDescent="0.25">
      <c r="B464" s="3"/>
    </row>
    <row r="465" spans="2:2" x14ac:dyDescent="0.25">
      <c r="B465" s="3"/>
    </row>
    <row r="466" spans="2:2" x14ac:dyDescent="0.25">
      <c r="B466" s="3"/>
    </row>
    <row r="467" spans="2:2" x14ac:dyDescent="0.25">
      <c r="B467" s="3"/>
    </row>
    <row r="468" spans="2:2" x14ac:dyDescent="0.25">
      <c r="B468" s="3"/>
    </row>
    <row r="469" spans="2:2" x14ac:dyDescent="0.25">
      <c r="B469" s="3"/>
    </row>
    <row r="470" spans="2:2" x14ac:dyDescent="0.25">
      <c r="B470" s="3"/>
    </row>
    <row r="471" spans="2:2" x14ac:dyDescent="0.25">
      <c r="B471" s="3"/>
    </row>
    <row r="472" spans="2:2" x14ac:dyDescent="0.25">
      <c r="B472" s="3"/>
    </row>
    <row r="473" spans="2:2" x14ac:dyDescent="0.25">
      <c r="B473" s="3"/>
    </row>
    <row r="474" spans="2:2" x14ac:dyDescent="0.25">
      <c r="B474" s="3"/>
    </row>
    <row r="475" spans="2:2" x14ac:dyDescent="0.25">
      <c r="B475" s="3"/>
    </row>
    <row r="476" spans="2:2" x14ac:dyDescent="0.25">
      <c r="B476" s="3"/>
    </row>
    <row r="477" spans="2:2" x14ac:dyDescent="0.25">
      <c r="B477" s="3"/>
    </row>
    <row r="478" spans="2:2" x14ac:dyDescent="0.25">
      <c r="B478" s="3"/>
    </row>
    <row r="479" spans="2:2" x14ac:dyDescent="0.25">
      <c r="B479" s="3"/>
    </row>
    <row r="480" spans="2:2" x14ac:dyDescent="0.25">
      <c r="B480" s="3"/>
    </row>
    <row r="481" spans="2:2" x14ac:dyDescent="0.25">
      <c r="B481" s="3"/>
    </row>
    <row r="482" spans="2:2" x14ac:dyDescent="0.25">
      <c r="B482" s="3"/>
    </row>
    <row r="483" spans="2:2" x14ac:dyDescent="0.25">
      <c r="B483" s="3"/>
    </row>
    <row r="484" spans="2:2" x14ac:dyDescent="0.25">
      <c r="B484" s="3"/>
    </row>
    <row r="485" spans="2:2" x14ac:dyDescent="0.25">
      <c r="B485" s="3"/>
    </row>
    <row r="486" spans="2:2" x14ac:dyDescent="0.25">
      <c r="B486" s="3"/>
    </row>
    <row r="1069" spans="2:264" x14ac:dyDescent="0.25">
      <c r="B1069" s="3"/>
      <c r="U1069">
        <v>18</v>
      </c>
      <c r="V1069" t="s">
        <v>13</v>
      </c>
      <c r="W1069" t="s">
        <v>12</v>
      </c>
      <c r="X1069" t="s">
        <v>17</v>
      </c>
      <c r="Y1069" t="s">
        <v>15</v>
      </c>
      <c r="Z1069" t="s">
        <v>19</v>
      </c>
      <c r="AA1069">
        <v>13</v>
      </c>
      <c r="AB1069" t="s">
        <v>16</v>
      </c>
      <c r="AD1069" t="s">
        <v>22</v>
      </c>
      <c r="AE1069" t="s">
        <v>8</v>
      </c>
      <c r="AF1069">
        <v>19</v>
      </c>
      <c r="AG1069" t="s">
        <v>13</v>
      </c>
      <c r="AH1069" t="s">
        <v>12</v>
      </c>
      <c r="AI1069" t="s">
        <v>23</v>
      </c>
      <c r="AJ1069" t="s">
        <v>15</v>
      </c>
      <c r="AK1069" t="s">
        <v>18</v>
      </c>
      <c r="AL1069">
        <v>555</v>
      </c>
      <c r="AM1069" t="s">
        <v>14</v>
      </c>
      <c r="AO1069" t="s">
        <v>24</v>
      </c>
      <c r="AP1069" t="s">
        <v>8</v>
      </c>
      <c r="AQ1069">
        <v>20</v>
      </c>
      <c r="AR1069" t="s">
        <v>13</v>
      </c>
      <c r="AS1069" t="s">
        <v>12</v>
      </c>
      <c r="AT1069" t="s">
        <v>23</v>
      </c>
      <c r="AU1069" t="s">
        <v>15</v>
      </c>
      <c r="AV1069" t="s">
        <v>18</v>
      </c>
      <c r="AW1069">
        <v>555</v>
      </c>
      <c r="AX1069" t="s">
        <v>14</v>
      </c>
      <c r="AZ1069" t="s">
        <v>25</v>
      </c>
      <c r="BA1069" t="s">
        <v>8</v>
      </c>
      <c r="BB1069">
        <v>21</v>
      </c>
      <c r="BC1069" t="s">
        <v>13</v>
      </c>
      <c r="BD1069" t="s">
        <v>12</v>
      </c>
      <c r="BE1069" t="s">
        <v>23</v>
      </c>
      <c r="BF1069" t="s">
        <v>15</v>
      </c>
      <c r="BG1069" t="s">
        <v>18</v>
      </c>
      <c r="BH1069">
        <v>555</v>
      </c>
      <c r="BI1069" t="s">
        <v>14</v>
      </c>
      <c r="BK1069" t="s">
        <v>26</v>
      </c>
      <c r="BL1069" t="s">
        <v>8</v>
      </c>
      <c r="BM1069">
        <v>22</v>
      </c>
      <c r="BN1069" t="s">
        <v>13</v>
      </c>
      <c r="BO1069" t="s">
        <v>12</v>
      </c>
      <c r="BP1069" t="s">
        <v>23</v>
      </c>
      <c r="BQ1069" t="s">
        <v>15</v>
      </c>
      <c r="BR1069" t="s">
        <v>18</v>
      </c>
      <c r="BS1069">
        <v>555</v>
      </c>
      <c r="BT1069" t="s">
        <v>14</v>
      </c>
      <c r="BV1069" t="s">
        <v>27</v>
      </c>
      <c r="BW1069" t="s">
        <v>8</v>
      </c>
      <c r="BX1069">
        <v>23</v>
      </c>
      <c r="BY1069" t="s">
        <v>13</v>
      </c>
      <c r="BZ1069" t="s">
        <v>12</v>
      </c>
      <c r="CA1069" t="s">
        <v>23</v>
      </c>
      <c r="CB1069" t="s">
        <v>15</v>
      </c>
      <c r="CC1069" t="s">
        <v>18</v>
      </c>
      <c r="CD1069">
        <v>777</v>
      </c>
      <c r="CE1069" t="s">
        <v>14</v>
      </c>
      <c r="CG1069" t="s">
        <v>28</v>
      </c>
      <c r="CH1069" t="s">
        <v>8</v>
      </c>
      <c r="CI1069">
        <v>24</v>
      </c>
      <c r="CJ1069" t="s">
        <v>13</v>
      </c>
      <c r="CK1069" t="s">
        <v>12</v>
      </c>
      <c r="CL1069" t="s">
        <v>23</v>
      </c>
      <c r="CR1069" t="s">
        <v>29</v>
      </c>
      <c r="CS1069" t="s">
        <v>8</v>
      </c>
      <c r="CT1069">
        <v>13</v>
      </c>
      <c r="CU1069" t="s">
        <v>13</v>
      </c>
      <c r="CV1069" t="s">
        <v>12</v>
      </c>
      <c r="CW1069" t="s">
        <v>23</v>
      </c>
      <c r="CX1069" t="s">
        <v>15</v>
      </c>
      <c r="CY1069" t="s">
        <v>18</v>
      </c>
      <c r="CZ1069">
        <v>555</v>
      </c>
      <c r="DA1069" t="s">
        <v>14</v>
      </c>
      <c r="DC1069" t="s">
        <v>30</v>
      </c>
      <c r="DD1069" t="s">
        <v>8</v>
      </c>
      <c r="DE1069">
        <v>1</v>
      </c>
      <c r="DF1069" t="s">
        <v>13</v>
      </c>
      <c r="DG1069" t="s">
        <v>12</v>
      </c>
      <c r="DH1069" t="s">
        <v>23</v>
      </c>
      <c r="DI1069" t="s">
        <v>15</v>
      </c>
      <c r="DJ1069" t="s">
        <v>18</v>
      </c>
      <c r="DK1069">
        <v>555</v>
      </c>
      <c r="DL1069" t="s">
        <v>14</v>
      </c>
      <c r="DN1069" t="s">
        <v>31</v>
      </c>
      <c r="DO1069" t="s">
        <v>8</v>
      </c>
      <c r="DP1069">
        <v>1</v>
      </c>
      <c r="DQ1069" t="s">
        <v>13</v>
      </c>
      <c r="DR1069" t="s">
        <v>12</v>
      </c>
      <c r="DS1069" t="s">
        <v>23</v>
      </c>
      <c r="DT1069" t="s">
        <v>15</v>
      </c>
      <c r="DU1069" t="s">
        <v>18</v>
      </c>
      <c r="DV1069">
        <v>555</v>
      </c>
      <c r="DW1069" t="s">
        <v>14</v>
      </c>
      <c r="DY1069" t="s">
        <v>32</v>
      </c>
      <c r="DZ1069" t="s">
        <v>8</v>
      </c>
      <c r="EA1069">
        <v>0</v>
      </c>
      <c r="EB1069" t="s">
        <v>13</v>
      </c>
      <c r="EC1069" t="s">
        <v>12</v>
      </c>
      <c r="ED1069" t="s">
        <v>17</v>
      </c>
      <c r="EE1069" t="s">
        <v>15</v>
      </c>
      <c r="EF1069" t="s">
        <v>18</v>
      </c>
      <c r="EG1069">
        <v>44</v>
      </c>
      <c r="EH1069" t="s">
        <v>14</v>
      </c>
      <c r="EJ1069" t="s">
        <v>20</v>
      </c>
      <c r="EK1069" t="s">
        <v>8</v>
      </c>
      <c r="EL1069">
        <v>16</v>
      </c>
      <c r="EM1069" t="s">
        <v>13</v>
      </c>
      <c r="EN1069" t="s">
        <v>12</v>
      </c>
      <c r="EO1069" t="s">
        <v>17</v>
      </c>
      <c r="EP1069" t="s">
        <v>15</v>
      </c>
      <c r="EQ1069" t="s">
        <v>18</v>
      </c>
      <c r="ER1069">
        <v>8888</v>
      </c>
      <c r="ES1069" t="s">
        <v>14</v>
      </c>
      <c r="EU1069" t="s">
        <v>21</v>
      </c>
      <c r="EV1069" t="s">
        <v>8</v>
      </c>
      <c r="EW1069">
        <v>18</v>
      </c>
      <c r="EX1069" t="s">
        <v>13</v>
      </c>
      <c r="EY1069" t="s">
        <v>12</v>
      </c>
      <c r="EZ1069" t="s">
        <v>17</v>
      </c>
      <c r="FA1069" t="s">
        <v>15</v>
      </c>
      <c r="FB1069" t="s">
        <v>19</v>
      </c>
      <c r="FC1069">
        <v>13</v>
      </c>
      <c r="FD1069" t="s">
        <v>16</v>
      </c>
      <c r="FF1069" t="s">
        <v>22</v>
      </c>
      <c r="FG1069" t="s">
        <v>8</v>
      </c>
      <c r="FH1069">
        <v>19</v>
      </c>
      <c r="FI1069" t="s">
        <v>13</v>
      </c>
      <c r="FJ1069" t="s">
        <v>12</v>
      </c>
      <c r="FK1069" t="s">
        <v>23</v>
      </c>
      <c r="FL1069" t="s">
        <v>15</v>
      </c>
      <c r="FM1069" t="s">
        <v>18</v>
      </c>
      <c r="FN1069">
        <v>555</v>
      </c>
      <c r="FO1069" t="s">
        <v>14</v>
      </c>
      <c r="FQ1069" t="s">
        <v>24</v>
      </c>
      <c r="FR1069" t="s">
        <v>8</v>
      </c>
      <c r="FS1069">
        <v>20</v>
      </c>
      <c r="FT1069" t="s">
        <v>13</v>
      </c>
      <c r="FU1069" t="s">
        <v>12</v>
      </c>
      <c r="FV1069" t="s">
        <v>23</v>
      </c>
      <c r="FW1069" t="s">
        <v>15</v>
      </c>
      <c r="FX1069" t="s">
        <v>18</v>
      </c>
      <c r="FY1069">
        <v>555</v>
      </c>
      <c r="FZ1069" t="s">
        <v>14</v>
      </c>
      <c r="GB1069" t="s">
        <v>25</v>
      </c>
      <c r="GC1069" t="s">
        <v>8</v>
      </c>
      <c r="GD1069">
        <v>21</v>
      </c>
      <c r="GE1069" t="s">
        <v>13</v>
      </c>
      <c r="GF1069" t="s">
        <v>12</v>
      </c>
      <c r="GG1069" t="s">
        <v>23</v>
      </c>
      <c r="GH1069" t="s">
        <v>15</v>
      </c>
      <c r="GI1069" t="s">
        <v>18</v>
      </c>
      <c r="GJ1069">
        <v>555</v>
      </c>
      <c r="GK1069" t="s">
        <v>14</v>
      </c>
      <c r="GM1069" t="s">
        <v>26</v>
      </c>
      <c r="GN1069" t="s">
        <v>8</v>
      </c>
      <c r="GO1069">
        <v>22</v>
      </c>
      <c r="GP1069" t="s">
        <v>13</v>
      </c>
      <c r="GQ1069" t="s">
        <v>12</v>
      </c>
      <c r="GR1069" t="s">
        <v>23</v>
      </c>
      <c r="GS1069" t="s">
        <v>15</v>
      </c>
      <c r="GT1069" t="s">
        <v>18</v>
      </c>
      <c r="GU1069">
        <v>555</v>
      </c>
      <c r="GV1069" t="s">
        <v>14</v>
      </c>
      <c r="GX1069" t="s">
        <v>27</v>
      </c>
      <c r="GY1069" t="s">
        <v>8</v>
      </c>
      <c r="GZ1069">
        <v>23</v>
      </c>
      <c r="HA1069" t="s">
        <v>13</v>
      </c>
      <c r="HB1069" t="s">
        <v>12</v>
      </c>
      <c r="HC1069" t="s">
        <v>23</v>
      </c>
      <c r="HD1069" t="s">
        <v>15</v>
      </c>
      <c r="HE1069" t="s">
        <v>18</v>
      </c>
      <c r="HF1069">
        <v>777</v>
      </c>
      <c r="HG1069" t="s">
        <v>14</v>
      </c>
      <c r="HI1069" t="s">
        <v>28</v>
      </c>
      <c r="HJ1069" t="s">
        <v>8</v>
      </c>
      <c r="HK1069">
        <v>24</v>
      </c>
      <c r="HL1069" t="s">
        <v>13</v>
      </c>
      <c r="HM1069" t="s">
        <v>12</v>
      </c>
      <c r="HN1069" t="s">
        <v>23</v>
      </c>
      <c r="HT1069" t="s">
        <v>29</v>
      </c>
      <c r="HU1069" t="s">
        <v>8</v>
      </c>
      <c r="HV1069">
        <v>13</v>
      </c>
      <c r="HW1069" t="s">
        <v>13</v>
      </c>
      <c r="HX1069" t="s">
        <v>12</v>
      </c>
      <c r="HY1069" t="s">
        <v>23</v>
      </c>
      <c r="HZ1069" t="s">
        <v>15</v>
      </c>
      <c r="IA1069" t="s">
        <v>18</v>
      </c>
      <c r="IB1069">
        <v>555</v>
      </c>
      <c r="IC1069" t="s">
        <v>14</v>
      </c>
      <c r="IE1069" t="s">
        <v>30</v>
      </c>
      <c r="IF1069" t="s">
        <v>8</v>
      </c>
      <c r="IG1069">
        <v>1</v>
      </c>
      <c r="IH1069" t="s">
        <v>13</v>
      </c>
      <c r="II1069" t="s">
        <v>12</v>
      </c>
      <c r="IJ1069" t="s">
        <v>23</v>
      </c>
      <c r="IK1069" t="s">
        <v>15</v>
      </c>
      <c r="IL1069" t="s">
        <v>18</v>
      </c>
      <c r="IM1069">
        <v>555</v>
      </c>
      <c r="IN1069" t="s">
        <v>14</v>
      </c>
      <c r="IP1069" t="s">
        <v>31</v>
      </c>
      <c r="IQ1069" t="s">
        <v>8</v>
      </c>
      <c r="IR1069">
        <v>1</v>
      </c>
      <c r="IS1069" t="s">
        <v>13</v>
      </c>
      <c r="IT1069" t="s">
        <v>12</v>
      </c>
      <c r="IU1069" t="s">
        <v>23</v>
      </c>
      <c r="IV1069" t="s">
        <v>15</v>
      </c>
      <c r="IW1069" t="s">
        <v>18</v>
      </c>
      <c r="IX1069">
        <v>555</v>
      </c>
      <c r="IY1069" t="s">
        <v>14</v>
      </c>
      <c r="JA1069" t="s">
        <v>32</v>
      </c>
      <c r="JB1069" t="s">
        <v>8</v>
      </c>
      <c r="JC1069">
        <v>0</v>
      </c>
      <c r="JD1069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D1:X120"/>
  <sheetViews>
    <sheetView workbookViewId="0">
      <selection activeCell="A2" sqref="A2:XFD42"/>
    </sheetView>
  </sheetViews>
  <sheetFormatPr baseColWidth="10" defaultRowHeight="15" x14ac:dyDescent="0.25"/>
  <cols>
    <col min="5" max="5" width="21.7109375" customWidth="1"/>
    <col min="17" max="17" width="33.7109375" customWidth="1"/>
  </cols>
  <sheetData>
    <row r="1" spans="4:24" ht="17.25" customHeight="1" x14ac:dyDescent="0.25">
      <c r="D1" t="s">
        <v>0</v>
      </c>
      <c r="E1" s="1" t="s">
        <v>1</v>
      </c>
      <c r="F1" t="s">
        <v>2</v>
      </c>
      <c r="G1" t="s">
        <v>3</v>
      </c>
      <c r="H1" t="s">
        <v>6</v>
      </c>
      <c r="I1" t="s">
        <v>7</v>
      </c>
      <c r="J1" t="s">
        <v>5</v>
      </c>
      <c r="K1" t="s">
        <v>4</v>
      </c>
      <c r="L1" t="s">
        <v>9</v>
      </c>
      <c r="M1" t="s">
        <v>10</v>
      </c>
      <c r="N1" s="1" t="s">
        <v>11</v>
      </c>
      <c r="O1">
        <v>1</v>
      </c>
      <c r="Q1" s="1" t="s">
        <v>1</v>
      </c>
      <c r="R1" t="s">
        <v>9</v>
      </c>
      <c r="W1" t="e" cm="1">
        <f t="array" ref="W1">INDEX(M:M,Feuil1!#REF!+1,1)</f>
        <v>#REF!</v>
      </c>
      <c r="X1" s="5" t="e">
        <f>ROW(INDEX(Feuil1!M:M,MATCH(W1,Feuil1!M:M,0),1))</f>
        <v>#REF!</v>
      </c>
    </row>
    <row r="2" spans="4:24" x14ac:dyDescent="0.25">
      <c r="D2" t="s">
        <v>33</v>
      </c>
      <c r="E2" t="s">
        <v>34</v>
      </c>
      <c r="F2" t="s">
        <v>35</v>
      </c>
      <c r="G2" t="s">
        <v>39</v>
      </c>
      <c r="H2" t="s">
        <v>40</v>
      </c>
      <c r="I2" t="s">
        <v>37</v>
      </c>
      <c r="J2" t="s">
        <v>36</v>
      </c>
      <c r="K2" t="s">
        <v>41</v>
      </c>
      <c r="L2" t="s">
        <v>8</v>
      </c>
      <c r="M2">
        <v>3</v>
      </c>
      <c r="N2" s="4" t="s">
        <v>38</v>
      </c>
      <c r="Q2" s="2">
        <v>46121</v>
      </c>
      <c r="R2" t="s">
        <v>8</v>
      </c>
    </row>
    <row r="3" spans="4:24" x14ac:dyDescent="0.25">
      <c r="N3" s="4"/>
    </row>
    <row r="4" spans="4:24" x14ac:dyDescent="0.25">
      <c r="N4" s="4"/>
    </row>
    <row r="5" spans="4:24" x14ac:dyDescent="0.25">
      <c r="N5" s="4"/>
    </row>
    <row r="6" spans="4:24" x14ac:dyDescent="0.25">
      <c r="N6" s="4"/>
    </row>
    <row r="7" spans="4:24" x14ac:dyDescent="0.25">
      <c r="N7" s="4"/>
    </row>
    <row r="8" spans="4:24" x14ac:dyDescent="0.25">
      <c r="N8" s="4"/>
    </row>
    <row r="9" spans="4:24" x14ac:dyDescent="0.25">
      <c r="N9" s="4"/>
    </row>
    <row r="10" spans="4:24" x14ac:dyDescent="0.25">
      <c r="N10" s="4"/>
    </row>
    <row r="11" spans="4:24" x14ac:dyDescent="0.25">
      <c r="N11" s="4"/>
    </row>
    <row r="15" spans="4:24" x14ac:dyDescent="0.25">
      <c r="N15" s="4"/>
    </row>
    <row r="16" spans="4:24" x14ac:dyDescent="0.25">
      <c r="N16" s="4"/>
    </row>
    <row r="17" spans="14:14" x14ac:dyDescent="0.25">
      <c r="N17" s="4"/>
    </row>
    <row r="18" spans="14:14" x14ac:dyDescent="0.25">
      <c r="N18" s="4"/>
    </row>
    <row r="112" spans="8:8" x14ac:dyDescent="0.25">
      <c r="H112" s="4"/>
    </row>
    <row r="113" spans="8:8" x14ac:dyDescent="0.25">
      <c r="H113" s="4"/>
    </row>
    <row r="114" spans="8:8" x14ac:dyDescent="0.25">
      <c r="H114" s="4"/>
    </row>
    <row r="115" spans="8:8" x14ac:dyDescent="0.25">
      <c r="H115" s="4"/>
    </row>
    <row r="116" spans="8:8" x14ac:dyDescent="0.25">
      <c r="H116" s="4"/>
    </row>
    <row r="117" spans="8:8" x14ac:dyDescent="0.25">
      <c r="H117" s="4"/>
    </row>
    <row r="118" spans="8:8" x14ac:dyDescent="0.25">
      <c r="H118" s="4"/>
    </row>
    <row r="119" spans="8:8" x14ac:dyDescent="0.25">
      <c r="H119" s="4"/>
    </row>
    <row r="120" spans="8:8" x14ac:dyDescent="0.25">
      <c r="H120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Feuil4</vt:lpstr>
      <vt:lpstr>Feuil5</vt:lpstr>
      <vt:lpstr>Feuil3</vt:lpstr>
      <vt:lpstr>basedonnees</vt:lpstr>
      <vt:lpstr>Feuil1!Criteres</vt:lpstr>
      <vt:lpstr>Feuil2!Criteres</vt:lpstr>
      <vt:lpstr>Feuil3!Criteres</vt:lpstr>
      <vt:lpstr>dataa</vt:lpstr>
      <vt:lpstr>database</vt:lpstr>
      <vt:lpstr>datajour</vt:lpstr>
      <vt:lpstr>Feuil1!Extraire</vt:lpstr>
      <vt:lpstr>Feuil2!Extraire</vt:lpstr>
      <vt:lpstr>Feuil3!Extraire</vt:lpstr>
      <vt:lpstr>Feuil5!Extraire</vt:lpstr>
      <vt:lpstr>non</vt:lpstr>
      <vt:lpstr>okk</vt:lpstr>
      <vt:lpstr>oui</vt:lpstr>
      <vt:lpstr>yesyes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DRIDI Jihen (PRESTA EXT)</dc:creator>
  <cp:lastModifiedBy>CHAACHOUI Youssef [EIDS]</cp:lastModifiedBy>
  <dcterms:created xsi:type="dcterms:W3CDTF">2023-09-12T10:08:03Z</dcterms:created>
  <dcterms:modified xsi:type="dcterms:W3CDTF">2026-04-09T12:04:17Z</dcterms:modified>
</cp:coreProperties>
</file>